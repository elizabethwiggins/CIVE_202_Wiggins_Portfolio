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https://uofnebraska-my.sharepoint.com/personal/24421746_nebraska_edu/Documents/UNL/CIVE202/Project 5/"/>
    </mc:Choice>
  </mc:AlternateContent>
  <xr:revisionPtr revIDLastSave="0" documentId="14_{D5774F8D-1904-48C8-A059-9747293C774D}" xr6:coauthVersionLast="47" xr6:coauthVersionMax="47" xr10:uidLastSave="{00000000-0000-0000-0000-000000000000}"/>
  <bookViews>
    <workbookView xWindow="11424" yWindow="0" windowWidth="11712" windowHeight="13776" xr2:uid="{00000000-000D-0000-FFFF-FFFF00000000}"/>
  </bookViews>
  <sheets>
    <sheet name="Project schedule" sheetId="11" r:id="rId1"/>
  </sheets>
  <definedNames>
    <definedName name="Display_Week">'Project schedule'!$Q$2</definedName>
    <definedName name="_xlnm.Print_Titles" localSheetId="0">'Project schedule'!$4:$6</definedName>
    <definedName name="Project_Start">'Project schedule'!$Q$1</definedName>
    <definedName name="task_end" localSheetId="0">'Project schedule'!$F1</definedName>
    <definedName name="task_progress" localSheetId="0">'Project schedule'!$D1</definedName>
    <definedName name="task_start" localSheetId="0">'Project 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4" i="11" l="1"/>
  <c r="F25" i="11"/>
  <c r="F23" i="11"/>
  <c r="H7" i="11"/>
  <c r="E9" i="11" l="1"/>
  <c r="F9" i="11" l="1"/>
  <c r="E10" i="11" s="1"/>
  <c r="E23" i="11"/>
  <c r="E20" i="11"/>
  <c r="I5" i="11"/>
  <c r="H29" i="11"/>
  <c r="H28" i="11"/>
  <c r="H26" i="11"/>
  <c r="H19" i="11"/>
  <c r="H13" i="11"/>
  <c r="H8" i="11"/>
  <c r="F10" i="11" l="1"/>
  <c r="E12" i="11"/>
  <c r="F12" i="11" s="1"/>
  <c r="F20" i="11"/>
  <c r="E11" i="11"/>
  <c r="F11" i="11" s="1"/>
  <c r="E17" i="11" s="1"/>
  <c r="F17" i="11" s="1"/>
  <c r="H9" i="11"/>
  <c r="I6" i="11"/>
  <c r="E25" i="11" l="1"/>
  <c r="E27" i="11" s="1"/>
  <c r="E24" i="11"/>
  <c r="H20" i="11"/>
  <c r="E18" i="11"/>
  <c r="F18" i="11" s="1"/>
  <c r="E16" i="11"/>
  <c r="F16" i="11" s="1"/>
  <c r="E15" i="11"/>
  <c r="E14" i="11"/>
  <c r="H27" i="11"/>
  <c r="H10" i="11"/>
  <c r="J5" i="11"/>
  <c r="K5" i="11" s="1"/>
  <c r="L5" i="11" s="1"/>
  <c r="M5" i="11" s="1"/>
  <c r="N5" i="11" s="1"/>
  <c r="O5" i="11" s="1"/>
  <c r="P5" i="11" s="1"/>
  <c r="I4" i="11"/>
  <c r="H25" i="11" l="1"/>
  <c r="F15" i="11"/>
  <c r="E22" i="11"/>
  <c r="F21" i="11"/>
  <c r="F22" i="11"/>
  <c r="F14" i="11"/>
  <c r="H14" i="11" s="1"/>
  <c r="E21" i="11"/>
  <c r="H15" i="11"/>
  <c r="H11" i="11"/>
  <c r="P4" i="11"/>
  <c r="Q5" i="11"/>
  <c r="R5" i="11" s="1"/>
  <c r="S5" i="11" s="1"/>
  <c r="T5" i="11" s="1"/>
  <c r="U5" i="11" s="1"/>
  <c r="V5" i="11" s="1"/>
  <c r="W5" i="11" s="1"/>
  <c r="J6" i="11"/>
  <c r="H21" i="11" l="1"/>
  <c r="H18" i="11"/>
  <c r="H16" i="1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<sst xmlns="http://schemas.openxmlformats.org/spreadsheetml/2006/main" count="49" uniqueCount="36">
  <si>
    <t>Insert new rows ABOVE this one</t>
  </si>
  <si>
    <t>PROGRESS</t>
  </si>
  <si>
    <t>START</t>
  </si>
  <si>
    <t>END</t>
  </si>
  <si>
    <t>TASK</t>
  </si>
  <si>
    <t>SIMPLE GANTT CHART by Vertex42.com</t>
  </si>
  <si>
    <t>https://www.vertex42.com/ExcelTemplates/simple-gantt-chart.html</t>
  </si>
  <si>
    <t xml:space="preserve">Do not delete this row. This row is hidden to preserve a formula that is used to highlight the current day within the project schedule. </t>
  </si>
  <si>
    <t>Project start:</t>
  </si>
  <si>
    <t>Display week:</t>
  </si>
  <si>
    <t>Data cleaning and processing</t>
  </si>
  <si>
    <t>Writing code</t>
  </si>
  <si>
    <t>Writing documentation</t>
  </si>
  <si>
    <t>Scope of work</t>
  </si>
  <si>
    <t>Annotated code document</t>
  </si>
  <si>
    <t>Final project integration and submission</t>
  </si>
  <si>
    <t>Finalize &amp; submit deliverables</t>
  </si>
  <si>
    <t>Project end:</t>
  </si>
  <si>
    <t>Timesheet</t>
  </si>
  <si>
    <t>Import CSV Data to Python</t>
  </si>
  <si>
    <t>Assign Variables to Cleaned Data</t>
  </si>
  <si>
    <t>ASSIGNED TO</t>
  </si>
  <si>
    <t>CIVE 202 Project #5</t>
  </si>
  <si>
    <t>BOTH</t>
  </si>
  <si>
    <t>ELIZABETH</t>
  </si>
  <si>
    <t>HUNTER</t>
  </si>
  <si>
    <t>Clean &amp; Simplify CSV Data</t>
  </si>
  <si>
    <t xml:space="preserve">Import Packages to Python </t>
  </si>
  <si>
    <t>Analysis of Bias</t>
  </si>
  <si>
    <t>Filter data to show ascending values</t>
  </si>
  <si>
    <t>Create map plot comparing regional data</t>
  </si>
  <si>
    <t>Create plot that relates population to hazard</t>
  </si>
  <si>
    <t>Create table and/or plot showing data for each state</t>
  </si>
  <si>
    <t>Non-technical executive summary</t>
  </si>
  <si>
    <t>Technical executive summary</t>
  </si>
  <si>
    <t xml:space="preserve">      Create any necessary helper 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</si>
</sst>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d/yy;@"/>
    <numFmt numFmtId="165" formatCode="ddd\,\ m/d/yyyy"/>
    <numFmt numFmtId="166" formatCode="mmm\ d\,\ yyyy"/>
    <numFmt numFmtId="167" formatCode="d"/>
  </numFmts>
  <fonts count="27" x14ac:knownFonts="1">
    <font>
      <sz val="11"/>
      <color theme="1"/>
      <name val="Arial"/>
      <family val="2"/>
      <scheme val="minor"/>
    </font>
    <font>
      <sz val="10"/>
      <name val="Arial"/>
      <family val="2"/>
      <scheme val="minor"/>
    </font>
    <font>
      <u/>
      <sz val="11"/>
      <color indexed="12"/>
      <name val="Arial"/>
      <family val="2"/>
    </font>
    <font>
      <sz val="11"/>
      <name val="Arial"/>
      <family val="2"/>
      <scheme val="minor"/>
    </font>
    <font>
      <sz val="11"/>
      <color theme="1"/>
      <name val="Arial"/>
      <family val="2"/>
      <scheme val="minor"/>
    </font>
    <font>
      <sz val="14"/>
      <color theme="1"/>
      <name val="Arial"/>
      <family val="2"/>
      <scheme val="minor"/>
    </font>
    <font>
      <b/>
      <sz val="22"/>
      <color theme="1" tint="0.34998626667073579"/>
      <name val="Arial Black"/>
      <family val="2"/>
      <scheme val="major"/>
    </font>
    <font>
      <b/>
      <sz val="11"/>
      <color theme="1" tint="0.499984740745262"/>
      <name val="Arial"/>
      <family val="2"/>
      <scheme val="minor"/>
    </font>
    <font>
      <sz val="10"/>
      <color theme="1" tint="0.499984740745262"/>
      <name val="Arial"/>
      <family val="2"/>
    </font>
    <font>
      <sz val="11"/>
      <color theme="0"/>
      <name val="Arial"/>
      <family val="2"/>
      <scheme val="minor"/>
    </font>
    <font>
      <sz val="10"/>
      <name val="Arial"/>
      <family val="2"/>
    </font>
    <font>
      <b/>
      <sz val="20"/>
      <color theme="4" tint="-0.249977111117893"/>
      <name val="Arial"/>
      <family val="2"/>
    </font>
    <font>
      <sz val="11"/>
      <color theme="1"/>
      <name val="Arial"/>
      <family val="2"/>
    </font>
    <font>
      <sz val="16"/>
      <color theme="1"/>
      <name val="Arial"/>
      <family val="2"/>
      <scheme val="minor"/>
    </font>
    <font>
      <b/>
      <sz val="11"/>
      <name val="Arial"/>
      <family val="2"/>
      <scheme val="minor"/>
    </font>
    <font>
      <sz val="10"/>
      <color theme="1"/>
      <name val="Arial"/>
      <family val="2"/>
      <scheme val="minor"/>
    </font>
    <font>
      <b/>
      <sz val="10"/>
      <color theme="1"/>
      <name val="Arial"/>
      <family val="2"/>
      <scheme val="minor"/>
    </font>
    <font>
      <b/>
      <sz val="8"/>
      <name val="Arial"/>
      <family val="2"/>
      <scheme val="minor"/>
    </font>
    <font>
      <b/>
      <sz val="8"/>
      <color theme="1"/>
      <name val="Arial"/>
      <family val="2"/>
      <scheme val="minor"/>
    </font>
    <font>
      <b/>
      <sz val="12"/>
      <color theme="1"/>
      <name val="Arial"/>
      <family val="2"/>
      <scheme val="minor"/>
    </font>
    <font>
      <i/>
      <sz val="10"/>
      <color theme="1"/>
      <name val="Arial"/>
      <family val="2"/>
      <scheme val="minor"/>
    </font>
    <font>
      <sz val="10"/>
      <color theme="1" tint="0.499984740745262"/>
      <name val="Arial"/>
      <family val="2"/>
      <scheme val="minor"/>
    </font>
    <font>
      <b/>
      <sz val="16"/>
      <color theme="9"/>
      <name val="Arial"/>
      <family val="2"/>
      <scheme val="minor"/>
    </font>
    <font>
      <b/>
      <sz val="16"/>
      <color theme="9"/>
      <name val="Arial Black"/>
      <family val="2"/>
      <scheme val="major"/>
    </font>
    <font>
      <sz val="11"/>
      <color theme="1"/>
      <name val="Arial Black"/>
      <family val="2"/>
      <scheme val="major"/>
    </font>
    <font>
      <b/>
      <sz val="40"/>
      <color theme="9"/>
      <name val="Arial Black"/>
      <family val="2"/>
      <scheme val="major"/>
    </font>
    <font>
      <sz val="11"/>
      <color theme="1"/>
      <name val="Aptos Narrow"/>
      <family val="2"/>
    </font>
  </fonts>
  <fills count="14">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8" tint="0.59996337778862885"/>
        <bgColor indexed="64"/>
      </patternFill>
    </fill>
    <fill>
      <patternFill patternType="solid">
        <fgColor theme="8" tint="0.79998168889431442"/>
        <bgColor indexed="64"/>
      </patternFill>
    </fill>
    <fill>
      <patternFill patternType="solid">
        <fgColor theme="0" tint="-4.9989318521683403E-2"/>
        <bgColor theme="4"/>
      </patternFill>
    </fill>
    <fill>
      <patternFill patternType="solid">
        <fgColor theme="0" tint="-0.14996795556505021"/>
        <bgColor indexed="64"/>
      </patternFill>
    </fill>
    <fill>
      <patternFill patternType="solid">
        <fgColor theme="0"/>
        <bgColor indexed="64"/>
      </patternFill>
    </fill>
  </fills>
  <borders count="22">
    <border>
      <left/>
      <right/>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3743705557422"/>
      </left>
      <right style="thin">
        <color theme="0" tint="-0.14993743705557422"/>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style="thin">
        <color theme="5" tint="0.59996337778862885"/>
      </top>
      <bottom style="thin">
        <color theme="5" tint="0.59996337778862885"/>
      </bottom>
      <diagonal/>
    </border>
    <border>
      <left/>
      <right/>
      <top/>
      <bottom style="thin">
        <color theme="4" tint="0.59996337778862885"/>
      </bottom>
      <diagonal/>
    </border>
    <border>
      <left/>
      <right/>
      <top style="thin">
        <color theme="4" tint="0.59996337778862885"/>
      </top>
      <bottom style="thin">
        <color theme="4" tint="0.59996337778862885"/>
      </bottom>
      <diagonal/>
    </border>
    <border>
      <left/>
      <right/>
      <top style="thin">
        <color theme="6" tint="0.59996337778862885"/>
      </top>
      <bottom style="thin">
        <color theme="6" tint="0.59996337778862885"/>
      </bottom>
      <diagonal/>
    </border>
    <border>
      <left/>
      <right/>
      <top style="thin">
        <color theme="8" tint="0.59996337778862885"/>
      </top>
      <bottom style="thin">
        <color theme="8" tint="0.59996337778862885"/>
      </bottom>
      <diagonal/>
    </border>
    <border>
      <left/>
      <right/>
      <top style="thin">
        <color theme="0" tint="-4.9989318521683403E-2"/>
      </top>
      <bottom style="thin">
        <color theme="0" tint="-4.9989318521683403E-2"/>
      </bottom>
      <diagonal/>
    </border>
    <border>
      <left/>
      <right/>
      <top/>
      <bottom style="thin">
        <color theme="0" tint="-4.9989318521683403E-2"/>
      </bottom>
      <diagonal/>
    </border>
    <border>
      <left/>
      <right/>
      <top style="thin">
        <color theme="0" tint="-4.9989318521683403E-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top/>
      <bottom style="thin">
        <color theme="1" tint="0.499984740745262"/>
      </bottom>
      <diagonal/>
    </border>
  </borders>
  <cellStyleXfs count="13">
    <xf numFmtId="0" fontId="0" fillId="0" borderId="0"/>
    <xf numFmtId="0" fontId="2" fillId="0" borderId="0" applyNumberFormat="0" applyFill="0" applyBorder="0" applyAlignment="0" applyProtection="0">
      <alignment vertical="top"/>
      <protection locked="0"/>
    </xf>
    <xf numFmtId="9" fontId="4" fillId="0" borderId="0" applyFont="0" applyFill="0" applyBorder="0" applyAlignment="0" applyProtection="0"/>
    <xf numFmtId="0" fontId="9" fillId="0" borderId="0"/>
    <xf numFmtId="43" fontId="4" fillId="0" borderId="2" applyFont="0" applyFill="0" applyAlignment="0" applyProtection="0"/>
    <xf numFmtId="0" fontId="6" fillId="0" borderId="0" applyNumberFormat="0" applyFill="0" applyBorder="0" applyAlignment="0" applyProtection="0"/>
    <xf numFmtId="0" fontId="5" fillId="0" borderId="0" applyNumberFormat="0" applyFill="0" applyAlignment="0" applyProtection="0"/>
    <xf numFmtId="0" fontId="5" fillId="0" borderId="0" applyNumberFormat="0" applyFill="0" applyProtection="0">
      <alignment vertical="top"/>
    </xf>
    <xf numFmtId="0" fontId="4" fillId="0" borderId="0" applyNumberFormat="0" applyFill="0" applyProtection="0">
      <alignment horizontal="right" indent="1"/>
    </xf>
    <xf numFmtId="165" fontId="4" fillId="0" borderId="2">
      <alignment horizontal="center" vertical="center"/>
    </xf>
    <xf numFmtId="164" fontId="4" fillId="0" borderId="1" applyFill="0">
      <alignment horizontal="center" vertical="center"/>
    </xf>
    <xf numFmtId="0" fontId="4" fillId="0" borderId="1" applyFill="0">
      <alignment horizontal="center" vertical="center"/>
    </xf>
    <xf numFmtId="0" fontId="4" fillId="0" borderId="1" applyFill="0">
      <alignment horizontal="left" vertical="center" indent="2"/>
    </xf>
  </cellStyleXfs>
  <cellXfs count="113">
    <xf numFmtId="0" fontId="0" fillId="0" borderId="0" xfId="0"/>
    <xf numFmtId="0" fontId="1" fillId="0" borderId="0" xfId="0" applyFont="1"/>
    <xf numFmtId="0" fontId="0" fillId="0" borderId="0" xfId="0" applyAlignment="1">
      <alignment horizontal="center"/>
    </xf>
    <xf numFmtId="0" fontId="0" fillId="0" borderId="0" xfId="0" applyAlignment="1">
      <alignment horizontal="right" vertical="center"/>
    </xf>
    <xf numFmtId="0" fontId="8" fillId="0" borderId="0" xfId="1" applyFont="1" applyAlignment="1" applyProtection="1"/>
    <xf numFmtId="0" fontId="3" fillId="0" borderId="1" xfId="0" applyFont="1" applyBorder="1" applyAlignment="1">
      <alignment horizontal="center" vertical="center"/>
    </xf>
    <xf numFmtId="0" fontId="3" fillId="2" borderId="1" xfId="0" applyFont="1" applyFill="1" applyBorder="1" applyAlignment="1">
      <alignment horizontal="center" vertical="center"/>
    </xf>
    <xf numFmtId="0" fontId="9" fillId="0" borderId="0" xfId="3"/>
    <xf numFmtId="0" fontId="9" fillId="0" borderId="0" xfId="3" applyAlignment="1">
      <alignment wrapText="1"/>
    </xf>
    <xf numFmtId="0" fontId="9" fillId="0" borderId="0" xfId="0" applyFont="1" applyAlignment="1">
      <alignment horizontal="center"/>
    </xf>
    <xf numFmtId="0" fontId="7" fillId="0" borderId="0" xfId="0" applyFont="1"/>
    <xf numFmtId="0" fontId="3" fillId="0" borderId="0" xfId="0" applyFont="1" applyAlignment="1">
      <alignment horizontal="center" vertical="center"/>
    </xf>
    <xf numFmtId="0" fontId="11" fillId="0" borderId="0" xfId="0" applyFont="1"/>
    <xf numFmtId="0" fontId="10" fillId="0" borderId="0" xfId="0" applyFont="1"/>
    <xf numFmtId="0" fontId="10" fillId="0" borderId="0" xfId="0" applyFont="1" applyAlignment="1">
      <alignment horizontal="center"/>
    </xf>
    <xf numFmtId="0" fontId="10" fillId="0" borderId="0" xfId="0" applyFont="1" applyAlignment="1">
      <alignment horizontal="center" vertical="center"/>
    </xf>
    <xf numFmtId="0" fontId="12" fillId="0" borderId="0" xfId="0" applyFont="1"/>
    <xf numFmtId="0" fontId="12" fillId="0" borderId="0" xfId="0" applyFont="1" applyAlignment="1">
      <alignment horizontal="center"/>
    </xf>
    <xf numFmtId="0" fontId="13" fillId="0" borderId="0" xfId="0" applyFont="1"/>
    <xf numFmtId="0" fontId="14" fillId="0" borderId="0" xfId="0" applyFont="1" applyAlignment="1">
      <alignment horizontal="left" indent="1"/>
    </xf>
    <xf numFmtId="0" fontId="4" fillId="0" borderId="0" xfId="0" applyFont="1"/>
    <xf numFmtId="0" fontId="4" fillId="0" borderId="0" xfId="8">
      <alignment horizontal="right" indent="1"/>
    </xf>
    <xf numFmtId="0" fontId="4" fillId="0" borderId="0" xfId="0" applyFont="1" applyAlignment="1">
      <alignment horizontal="center"/>
    </xf>
    <xf numFmtId="0" fontId="1" fillId="0" borderId="0" xfId="1" applyFont="1" applyAlignment="1" applyProtection="1">
      <alignment horizontal="left" vertical="top" indent="1"/>
    </xf>
    <xf numFmtId="0" fontId="4" fillId="0" borderId="0" xfId="0" applyFont="1" applyAlignment="1">
      <alignment horizontal="left" indent="1"/>
    </xf>
    <xf numFmtId="167" fontId="17" fillId="12" borderId="20" xfId="0" applyNumberFormat="1" applyFont="1" applyFill="1" applyBorder="1" applyAlignment="1">
      <alignment horizontal="center" vertical="center"/>
    </xf>
    <xf numFmtId="167" fontId="17" fillId="12" borderId="18" xfId="0" applyNumberFormat="1" applyFont="1" applyFill="1" applyBorder="1" applyAlignment="1">
      <alignment horizontal="center" vertical="center"/>
    </xf>
    <xf numFmtId="167" fontId="17" fillId="12" borderId="19" xfId="0" applyNumberFormat="1" applyFont="1" applyFill="1" applyBorder="1" applyAlignment="1">
      <alignment horizontal="center" vertical="center"/>
    </xf>
    <xf numFmtId="0" fontId="18" fillId="2" borderId="17" xfId="0" applyFont="1" applyFill="1" applyBorder="1" applyAlignment="1">
      <alignment horizontal="center" vertical="center" shrinkToFit="1"/>
    </xf>
    <xf numFmtId="0" fontId="18" fillId="2" borderId="14" xfId="0" applyFont="1" applyFill="1" applyBorder="1" applyAlignment="1">
      <alignment horizontal="center" vertical="center" shrinkToFit="1"/>
    </xf>
    <xf numFmtId="0" fontId="18" fillId="2" borderId="15" xfId="0" applyFont="1" applyFill="1" applyBorder="1" applyAlignment="1">
      <alignment horizontal="center" vertical="center" shrinkToFit="1"/>
    </xf>
    <xf numFmtId="0" fontId="15" fillId="0" borderId="0" xfId="0" applyFont="1"/>
    <xf numFmtId="0" fontId="15" fillId="0" borderId="0" xfId="0" applyFont="1" applyAlignment="1">
      <alignment wrapText="1"/>
    </xf>
    <xf numFmtId="0" fontId="4" fillId="0" borderId="3" xfId="0" applyFont="1" applyBorder="1" applyAlignment="1">
      <alignment vertical="center"/>
    </xf>
    <xf numFmtId="0" fontId="19" fillId="6" borderId="0" xfId="0" applyFont="1" applyFill="1" applyAlignment="1">
      <alignment horizontal="left" vertical="center" indent="1"/>
    </xf>
    <xf numFmtId="0" fontId="15" fillId="6" borderId="0" xfId="11" applyFont="1" applyFill="1" applyBorder="1" applyAlignment="1">
      <alignment vertical="center"/>
    </xf>
    <xf numFmtId="9" fontId="1" fillId="6" borderId="0" xfId="2" applyFont="1" applyFill="1" applyBorder="1" applyAlignment="1">
      <alignment horizontal="center" vertical="center"/>
    </xf>
    <xf numFmtId="164" fontId="15" fillId="6" borderId="0" xfId="0" applyNumberFormat="1" applyFont="1" applyFill="1" applyAlignment="1">
      <alignment horizontal="center" vertical="center"/>
    </xf>
    <xf numFmtId="164" fontId="1" fillId="6" borderId="0" xfId="0" applyNumberFormat="1" applyFont="1" applyFill="1" applyAlignment="1">
      <alignment horizontal="center" vertical="center"/>
    </xf>
    <xf numFmtId="0" fontId="4" fillId="0" borderId="12" xfId="0" applyFont="1" applyBorder="1" applyAlignment="1">
      <alignment vertical="center"/>
    </xf>
    <xf numFmtId="0" fontId="4" fillId="0" borderId="0" xfId="0" applyFont="1" applyAlignment="1">
      <alignment vertical="center"/>
    </xf>
    <xf numFmtId="0" fontId="15" fillId="3" borderId="6" xfId="12" applyFont="1" applyFill="1" applyBorder="1">
      <alignment horizontal="left" vertical="center" indent="2"/>
    </xf>
    <xf numFmtId="9" fontId="1" fillId="3" borderId="6" xfId="2" applyFont="1" applyFill="1" applyBorder="1" applyAlignment="1">
      <alignment horizontal="center" vertical="center"/>
    </xf>
    <xf numFmtId="164" fontId="15" fillId="3" borderId="6" xfId="10" applyFont="1" applyFill="1" applyBorder="1">
      <alignment horizontal="center" vertical="center"/>
    </xf>
    <xf numFmtId="0" fontId="4" fillId="0" borderId="4" xfId="0" applyFont="1" applyBorder="1" applyAlignment="1">
      <alignment vertical="center"/>
    </xf>
    <xf numFmtId="0" fontId="15" fillId="3" borderId="7" xfId="12" applyFont="1" applyFill="1" applyBorder="1">
      <alignment horizontal="left" vertical="center" indent="2"/>
    </xf>
    <xf numFmtId="9" fontId="1" fillId="3" borderId="7" xfId="2" applyFont="1" applyFill="1" applyBorder="1" applyAlignment="1">
      <alignment horizontal="center" vertical="center"/>
    </xf>
    <xf numFmtId="164" fontId="15" fillId="3" borderId="7" xfId="10" applyFont="1" applyFill="1" applyBorder="1">
      <alignment horizontal="center" vertical="center"/>
    </xf>
    <xf numFmtId="0" fontId="4" fillId="0" borderId="4" xfId="0" applyFont="1" applyBorder="1" applyAlignment="1">
      <alignment horizontal="right" vertical="center"/>
    </xf>
    <xf numFmtId="0" fontId="19" fillId="7" borderId="0" xfId="0" applyFont="1" applyFill="1" applyAlignment="1">
      <alignment horizontal="left" vertical="center" indent="1"/>
    </xf>
    <xf numFmtId="9" fontId="1" fillId="7" borderId="0" xfId="2" applyFont="1" applyFill="1" applyBorder="1" applyAlignment="1">
      <alignment horizontal="center" vertical="center"/>
    </xf>
    <xf numFmtId="164" fontId="15" fillId="7" borderId="0" xfId="0" applyNumberFormat="1" applyFont="1" applyFill="1" applyAlignment="1">
      <alignment horizontal="center" vertical="center"/>
    </xf>
    <xf numFmtId="164" fontId="1" fillId="7" borderId="0" xfId="0" applyNumberFormat="1" applyFont="1" applyFill="1" applyAlignment="1">
      <alignment horizontal="center" vertical="center"/>
    </xf>
    <xf numFmtId="0" fontId="15" fillId="4" borderId="5" xfId="12" applyFont="1" applyFill="1" applyBorder="1">
      <alignment horizontal="left" vertical="center" indent="2"/>
    </xf>
    <xf numFmtId="9" fontId="1" fillId="4" borderId="5" xfId="2" applyFont="1" applyFill="1" applyBorder="1" applyAlignment="1">
      <alignment horizontal="center" vertical="center"/>
    </xf>
    <xf numFmtId="164" fontId="15" fillId="4" borderId="5" xfId="10" applyFont="1" applyFill="1" applyBorder="1">
      <alignment horizontal="center" vertical="center"/>
    </xf>
    <xf numFmtId="0" fontId="19" fillId="8" borderId="0" xfId="0" applyFont="1" applyFill="1" applyAlignment="1">
      <alignment horizontal="left" vertical="center" indent="1"/>
    </xf>
    <xf numFmtId="9" fontId="1" fillId="8" borderId="0" xfId="2" applyFont="1" applyFill="1" applyBorder="1" applyAlignment="1">
      <alignment horizontal="center" vertical="center"/>
    </xf>
    <xf numFmtId="164" fontId="15" fillId="8" borderId="0" xfId="0" applyNumberFormat="1" applyFont="1" applyFill="1" applyAlignment="1">
      <alignment horizontal="center" vertical="center"/>
    </xf>
    <xf numFmtId="164" fontId="1" fillId="8" borderId="0" xfId="0" applyNumberFormat="1" applyFont="1" applyFill="1" applyAlignment="1">
      <alignment horizontal="center" vertical="center"/>
    </xf>
    <xf numFmtId="0" fontId="4" fillId="0" borderId="11" xfId="0" applyFont="1" applyBorder="1" applyAlignment="1">
      <alignment vertical="center"/>
    </xf>
    <xf numFmtId="0" fontId="15" fillId="5" borderId="8" xfId="12" applyFont="1" applyFill="1" applyBorder="1">
      <alignment horizontal="left" vertical="center" indent="2"/>
    </xf>
    <xf numFmtId="9" fontId="1" fillId="5" borderId="8" xfId="2" applyFont="1" applyFill="1" applyBorder="1" applyAlignment="1">
      <alignment horizontal="center" vertical="center"/>
    </xf>
    <xf numFmtId="164" fontId="15" fillId="5" borderId="8" xfId="10" applyFont="1" applyFill="1" applyBorder="1">
      <alignment horizontal="center" vertical="center"/>
    </xf>
    <xf numFmtId="0" fontId="19" fillId="9" borderId="0" xfId="0" applyFont="1" applyFill="1" applyAlignment="1">
      <alignment horizontal="left" vertical="center" indent="1"/>
    </xf>
    <xf numFmtId="9" fontId="1" fillId="9" borderId="0" xfId="2" applyFont="1" applyFill="1" applyBorder="1" applyAlignment="1">
      <alignment horizontal="center" vertical="center"/>
    </xf>
    <xf numFmtId="164" fontId="15" fillId="9" borderId="0" xfId="0" applyNumberFormat="1" applyFont="1" applyFill="1" applyAlignment="1">
      <alignment horizontal="center" vertical="center"/>
    </xf>
    <xf numFmtId="164" fontId="1" fillId="9" borderId="0" xfId="0" applyNumberFormat="1" applyFont="1" applyFill="1" applyAlignment="1">
      <alignment horizontal="center" vertical="center"/>
    </xf>
    <xf numFmtId="0" fontId="4" fillId="0" borderId="10" xfId="0" applyFont="1" applyBorder="1" applyAlignment="1">
      <alignment vertical="center"/>
    </xf>
    <xf numFmtId="0" fontId="15" fillId="10" borderId="9" xfId="12" applyFont="1" applyFill="1" applyBorder="1">
      <alignment horizontal="left" vertical="center" indent="2"/>
    </xf>
    <xf numFmtId="9" fontId="1" fillId="10" borderId="9" xfId="2" applyFont="1" applyFill="1" applyBorder="1" applyAlignment="1">
      <alignment horizontal="center" vertical="center"/>
    </xf>
    <xf numFmtId="164" fontId="15" fillId="10" borderId="9" xfId="10" applyFont="1" applyFill="1" applyBorder="1">
      <alignment horizontal="center" vertical="center"/>
    </xf>
    <xf numFmtId="0" fontId="15" fillId="0" borderId="0" xfId="12" applyFont="1" applyBorder="1">
      <alignment horizontal="left" vertical="center" indent="2"/>
    </xf>
    <xf numFmtId="0" fontId="15" fillId="0" borderId="0" xfId="11" applyFont="1" applyBorder="1" applyAlignment="1">
      <alignment vertical="center"/>
    </xf>
    <xf numFmtId="9" fontId="1" fillId="0" borderId="0" xfId="2" applyFont="1" applyBorder="1" applyAlignment="1">
      <alignment horizontal="center" vertical="center"/>
    </xf>
    <xf numFmtId="164" fontId="15" fillId="0" borderId="0" xfId="10" applyFont="1" applyBorder="1">
      <alignment horizontal="center" vertical="center"/>
    </xf>
    <xf numFmtId="0" fontId="20" fillId="2" borderId="0" xfId="0" applyFont="1" applyFill="1" applyAlignment="1">
      <alignment horizontal="left" vertical="center" indent="1"/>
    </xf>
    <xf numFmtId="0" fontId="20" fillId="2" borderId="0" xfId="0" applyFont="1" applyFill="1" applyAlignment="1">
      <alignment vertical="center"/>
    </xf>
    <xf numFmtId="9" fontId="1" fillId="2" borderId="0" xfId="2" applyFont="1" applyFill="1" applyBorder="1" applyAlignment="1">
      <alignment horizontal="center" vertical="center"/>
    </xf>
    <xf numFmtId="164" fontId="21" fillId="2" borderId="0" xfId="0" applyNumberFormat="1" applyFont="1" applyFill="1" applyAlignment="1">
      <alignment horizontal="left" vertical="center"/>
    </xf>
    <xf numFmtId="164" fontId="1" fillId="2" borderId="0" xfId="0" applyNumberFormat="1" applyFont="1" applyFill="1" applyAlignment="1">
      <alignment horizontal="center" vertical="center"/>
    </xf>
    <xf numFmtId="0" fontId="4" fillId="2" borderId="0" xfId="0" applyFont="1" applyFill="1" applyAlignment="1">
      <alignment vertical="center"/>
    </xf>
    <xf numFmtId="0" fontId="22" fillId="0" borderId="0" xfId="6" applyFont="1" applyAlignment="1">
      <alignment horizontal="left" vertical="center" indent="1"/>
    </xf>
    <xf numFmtId="0" fontId="22" fillId="0" borderId="0" xfId="7" applyFont="1" applyAlignment="1">
      <alignment horizontal="left" vertical="center" indent="1"/>
    </xf>
    <xf numFmtId="0" fontId="25" fillId="0" borderId="0" xfId="5" applyFont="1" applyAlignment="1">
      <alignment horizontal="left"/>
    </xf>
    <xf numFmtId="0" fontId="26" fillId="0" borderId="4" xfId="0" applyFont="1" applyBorder="1" applyAlignment="1">
      <alignment vertical="center"/>
    </xf>
    <xf numFmtId="0" fontId="4" fillId="13" borderId="4" xfId="0" applyFont="1" applyFill="1" applyBorder="1" applyAlignment="1">
      <alignment vertical="center"/>
    </xf>
    <xf numFmtId="0" fontId="22" fillId="0" borderId="0" xfId="8" applyFont="1" applyAlignment="1">
      <alignment horizontal="left"/>
    </xf>
    <xf numFmtId="0" fontId="4" fillId="0" borderId="0" xfId="0" applyFont="1"/>
    <xf numFmtId="165" fontId="23" fillId="0" borderId="0" xfId="9" applyFont="1" applyBorder="1" applyAlignment="1">
      <alignment horizontal="left"/>
    </xf>
    <xf numFmtId="0" fontId="24" fillId="0" borderId="0" xfId="0" applyFont="1"/>
    <xf numFmtId="166" fontId="15" fillId="2" borderId="13" xfId="0" applyNumberFormat="1" applyFont="1" applyFill="1" applyBorder="1" applyAlignment="1">
      <alignment horizontal="center" vertical="center" wrapText="1"/>
    </xf>
    <xf numFmtId="166" fontId="15" fillId="2" borderId="19" xfId="0" applyNumberFormat="1" applyFont="1" applyFill="1" applyBorder="1" applyAlignment="1">
      <alignment horizontal="center" vertical="center" wrapText="1"/>
    </xf>
    <xf numFmtId="166" fontId="15" fillId="2" borderId="18" xfId="0" applyNumberFormat="1" applyFont="1" applyFill="1" applyBorder="1" applyAlignment="1">
      <alignment horizontal="center" vertical="center" wrapText="1"/>
    </xf>
    <xf numFmtId="0" fontId="16" fillId="11" borderId="16" xfId="0" applyFont="1" applyFill="1" applyBorder="1" applyAlignment="1">
      <alignment horizontal="center" vertical="center"/>
    </xf>
    <xf numFmtId="0" fontId="4" fillId="2" borderId="21" xfId="0" applyFont="1" applyFill="1" applyBorder="1"/>
    <xf numFmtId="0" fontId="23" fillId="0" borderId="0" xfId="0" applyFont="1" applyAlignment="1">
      <alignment horizontal="left"/>
    </xf>
    <xf numFmtId="0" fontId="9" fillId="0" borderId="0" xfId="3" applyAlignment="1">
      <alignment wrapText="1"/>
    </xf>
    <xf numFmtId="0" fontId="16" fillId="11" borderId="16" xfId="0" applyFont="1" applyFill="1" applyBorder="1" applyAlignment="1">
      <alignment horizontal="left" vertical="center" indent="1"/>
    </xf>
    <xf numFmtId="0" fontId="4" fillId="2" borderId="21" xfId="0" applyFont="1" applyFill="1" applyBorder="1" applyAlignment="1">
      <alignment horizontal="left" indent="1"/>
    </xf>
    <xf numFmtId="0" fontId="4" fillId="2" borderId="21" xfId="0" applyFont="1" applyFill="1" applyBorder="1" applyAlignment="1">
      <alignment horizontal="center"/>
    </xf>
    <xf numFmtId="0" fontId="15" fillId="3" borderId="6" xfId="11" applyFont="1" applyFill="1" applyBorder="1" applyAlignment="1">
      <alignment horizontal="center" vertical="center"/>
    </xf>
    <xf numFmtId="0" fontId="15" fillId="3" borderId="7" xfId="11" applyFont="1" applyFill="1" applyBorder="1" applyAlignment="1">
      <alignment horizontal="center" vertical="center"/>
    </xf>
    <xf numFmtId="0" fontId="15" fillId="7" borderId="0" xfId="11" applyFont="1" applyFill="1" applyBorder="1" applyAlignment="1">
      <alignment horizontal="center" vertical="center"/>
    </xf>
    <xf numFmtId="0" fontId="15" fillId="4" borderId="5" xfId="11" applyFont="1" applyFill="1" applyBorder="1" applyAlignment="1">
      <alignment horizontal="center" vertical="center"/>
    </xf>
    <xf numFmtId="0" fontId="15" fillId="8" borderId="0" xfId="11" applyFont="1" applyFill="1" applyBorder="1" applyAlignment="1">
      <alignment horizontal="center" vertical="center"/>
    </xf>
    <xf numFmtId="0" fontId="15" fillId="5" borderId="8" xfId="11" applyFont="1" applyFill="1" applyBorder="1" applyAlignment="1">
      <alignment horizontal="center" vertical="center"/>
    </xf>
    <xf numFmtId="0" fontId="15" fillId="9" borderId="0" xfId="11" applyFont="1" applyFill="1" applyBorder="1" applyAlignment="1">
      <alignment horizontal="center" vertical="center"/>
    </xf>
    <xf numFmtId="0" fontId="15" fillId="10" borderId="9" xfId="11" applyFont="1" applyFill="1" applyBorder="1" applyAlignment="1">
      <alignment horizontal="center" vertical="center"/>
    </xf>
    <xf numFmtId="0" fontId="15" fillId="3" borderId="0" xfId="12" applyFont="1" applyFill="1" applyBorder="1">
      <alignment horizontal="left" vertical="center" indent="2"/>
    </xf>
    <xf numFmtId="0" fontId="15" fillId="3" borderId="0" xfId="11" applyFont="1" applyFill="1" applyBorder="1" applyAlignment="1">
      <alignment horizontal="center" vertical="center"/>
    </xf>
    <xf numFmtId="0" fontId="4" fillId="0" borderId="0" xfId="0" applyFont="1" applyBorder="1" applyAlignment="1">
      <alignment vertical="center"/>
    </xf>
    <xf numFmtId="0" fontId="15" fillId="4" borderId="0" xfId="0" applyFont="1" applyFill="1" applyAlignment="1">
      <alignment vertical="center"/>
    </xf>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8">
    <dxf>
      <fill>
        <patternFill>
          <bgColor theme="8"/>
        </patternFill>
      </fill>
      <border>
        <left/>
        <right/>
      </border>
    </dxf>
    <dxf>
      <fill>
        <patternFill>
          <bgColor theme="8" tint="0.59996337778862885"/>
        </patternFill>
      </fill>
      <border>
        <left/>
        <right/>
      </border>
    </dxf>
    <dxf>
      <fill>
        <patternFill>
          <bgColor theme="6" tint="0.39994506668294322"/>
        </patternFill>
      </fill>
      <border>
        <left/>
        <right/>
        <top style="thin">
          <color theme="0" tint="-4.9989318521683403E-2"/>
        </top>
        <bottom style="thin">
          <color theme="0" tint="-4.9989318521683403E-2"/>
        </bottom>
      </border>
    </dxf>
    <dxf>
      <fill>
        <patternFill>
          <bgColor theme="6" tint="0.79998168889431442"/>
        </patternFill>
      </fill>
      <border>
        <top style="thin">
          <color theme="0" tint="-4.9989318521683403E-2"/>
        </top>
        <bottom style="thin">
          <color theme="0" tint="-4.9989318521683403E-2"/>
        </bottom>
      </border>
    </dxf>
    <dxf>
      <fill>
        <patternFill>
          <bgColor theme="5" tint="0.39994506668294322"/>
        </patternFill>
      </fill>
      <border>
        <left/>
        <right/>
        <top style="thin">
          <color theme="0" tint="-4.9989318521683403E-2"/>
        </top>
        <bottom style="thin">
          <color theme="0" tint="-4.9989318521683403E-2"/>
        </bottom>
      </border>
    </dxf>
    <dxf>
      <fill>
        <patternFill>
          <bgColor theme="5" tint="0.79998168889431442"/>
        </patternFill>
      </fill>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border>
        <left style="thin">
          <color theme="5"/>
        </left>
        <right style="thin">
          <color theme="5"/>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7"/>
      <tableStyleElement type="headerRow" dxfId="16"/>
      <tableStyleElement type="totalRow" dxfId="15"/>
      <tableStyleElement type="firstColumn" dxfId="14"/>
      <tableStyleElement type="lastColumn" dxfId="13"/>
      <tableStyleElement type="firstRowStripe" dxfId="12"/>
      <tableStyleElement type="secondRowStripe" dxfId="11"/>
      <tableStyleElement type="firstColumnStripe" dxfId="10"/>
      <tableStyleElement type="secondColumnStripe" dxfId="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 Id="rId9"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21</xdr:col>
      <xdr:colOff>134471</xdr:colOff>
      <xdr:row>10</xdr:row>
      <xdr:rowOff>302559</xdr:rowOff>
    </xdr:from>
    <xdr:to>
      <xdr:col>21</xdr:col>
      <xdr:colOff>134471</xdr:colOff>
      <xdr:row>13</xdr:row>
      <xdr:rowOff>145676</xdr:rowOff>
    </xdr:to>
    <xdr:cxnSp macro="">
      <xdr:nvCxnSpPr>
        <xdr:cNvPr id="3" name="Straight Arrow Connector 2">
          <a:extLst>
            <a:ext uri="{FF2B5EF4-FFF2-40B4-BE49-F238E27FC236}">
              <a16:creationId xmlns:a16="http://schemas.microsoft.com/office/drawing/2014/main" id="{4FB8CBB0-9E82-06EE-D1DF-BD726DC22B9D}"/>
            </a:ext>
          </a:extLst>
        </xdr:cNvPr>
        <xdr:cNvCxnSpPr/>
      </xdr:nvCxnSpPr>
      <xdr:spPr>
        <a:xfrm>
          <a:off x="13368618" y="4112559"/>
          <a:ext cx="0" cy="6051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TM16400962">
      <a:dk1>
        <a:srgbClr val="000000"/>
      </a:dk1>
      <a:lt1>
        <a:srgbClr val="FFFFFF"/>
      </a:lt1>
      <a:dk2>
        <a:srgbClr val="0E2841"/>
      </a:dk2>
      <a:lt2>
        <a:srgbClr val="E8E8E8"/>
      </a:lt2>
      <a:accent1>
        <a:srgbClr val="6528F7"/>
      </a:accent1>
      <a:accent2>
        <a:srgbClr val="D800A6"/>
      </a:accent2>
      <a:accent3>
        <a:srgbClr val="7ECA9C"/>
      </a:accent3>
      <a:accent4>
        <a:srgbClr val="00ABB3"/>
      </a:accent4>
      <a:accent5>
        <a:srgbClr val="FFE227"/>
      </a:accent5>
      <a:accent6>
        <a:srgbClr val="1363DF"/>
      </a:accent6>
      <a:hlink>
        <a:srgbClr val="467886"/>
      </a:hlink>
      <a:folHlink>
        <a:srgbClr val="96607D"/>
      </a:folHlink>
    </a:clrScheme>
    <a:fontScheme name="Custom 32">
      <a:majorFont>
        <a:latin typeface="Arial Black"/>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2"/>
  <sheetViews>
    <sheetView showGridLines="0" tabSelected="1" showRuler="0" zoomScale="45" zoomScaleNormal="145" zoomScalePageLayoutView="70" workbookViewId="0">
      <selection activeCell="B16" sqref="B16"/>
    </sheetView>
  </sheetViews>
  <sheetFormatPr defaultColWidth="8.69921875" defaultRowHeight="30" customHeight="1" x14ac:dyDescent="0.25"/>
  <cols>
    <col min="1" max="1" width="2.69921875" style="7" customWidth="1"/>
    <col min="2" max="2" width="77.59765625" bestFit="1" customWidth="1"/>
    <col min="3" max="3" width="21.796875" bestFit="1" customWidth="1"/>
    <col min="4" max="4" width="13.09765625" bestFit="1" customWidth="1"/>
    <col min="5" max="5" width="10.69921875" style="2" customWidth="1"/>
    <col min="6" max="6" width="10.69921875" customWidth="1"/>
    <col min="7" max="7" width="2.69921875" customWidth="1"/>
    <col min="8" max="8" width="6" hidden="1" customWidth="1"/>
    <col min="9" max="65" width="2.69921875" customWidth="1"/>
  </cols>
  <sheetData>
    <row r="1" spans="1:64" ht="90" customHeight="1" x14ac:dyDescent="1.45">
      <c r="A1" s="8"/>
      <c r="B1" s="84" t="s">
        <v>22</v>
      </c>
      <c r="C1" s="12"/>
      <c r="D1" s="13"/>
      <c r="E1" s="14"/>
      <c r="F1" s="15"/>
      <c r="H1" s="1"/>
      <c r="I1" s="87" t="s">
        <v>8</v>
      </c>
      <c r="J1" s="88"/>
      <c r="K1" s="88"/>
      <c r="L1" s="88"/>
      <c r="M1" s="88"/>
      <c r="N1" s="88"/>
      <c r="O1" s="88"/>
      <c r="P1" s="18"/>
      <c r="Q1" s="89">
        <v>46087</v>
      </c>
      <c r="R1" s="90"/>
      <c r="S1" s="90"/>
      <c r="T1" s="90"/>
      <c r="U1" s="90"/>
      <c r="V1" s="90"/>
      <c r="W1" s="90"/>
      <c r="X1" s="90"/>
      <c r="Y1" s="90"/>
      <c r="Z1" s="90"/>
      <c r="AC1" s="87" t="s">
        <v>17</v>
      </c>
      <c r="AD1" s="88"/>
      <c r="AE1" s="88"/>
      <c r="AF1" s="88"/>
      <c r="AG1" s="88"/>
      <c r="AH1" s="88"/>
      <c r="AI1" s="88"/>
      <c r="AK1" s="89">
        <v>46150</v>
      </c>
      <c r="AL1" s="90"/>
      <c r="AM1" s="90"/>
      <c r="AN1" s="90"/>
      <c r="AO1" s="90"/>
      <c r="AP1" s="90"/>
      <c r="AQ1" s="90"/>
      <c r="AR1" s="90"/>
      <c r="AS1" s="90"/>
      <c r="AT1" s="90"/>
    </row>
    <row r="2" spans="1:64" ht="30" customHeight="1" x14ac:dyDescent="0.6">
      <c r="B2" s="82"/>
      <c r="C2" s="83"/>
      <c r="D2" s="83"/>
      <c r="E2" s="17"/>
      <c r="F2" s="16"/>
      <c r="I2" s="87" t="s">
        <v>9</v>
      </c>
      <c r="J2" s="88"/>
      <c r="K2" s="88"/>
      <c r="L2" s="88"/>
      <c r="M2" s="88"/>
      <c r="N2" s="88"/>
      <c r="O2" s="88"/>
      <c r="P2" s="18"/>
      <c r="Q2" s="96">
        <v>1</v>
      </c>
      <c r="R2" s="90"/>
      <c r="S2" s="90"/>
      <c r="T2" s="90"/>
      <c r="U2" s="90"/>
      <c r="V2" s="90"/>
      <c r="W2" s="90"/>
      <c r="X2" s="90"/>
      <c r="Y2" s="90"/>
      <c r="Z2" s="90"/>
    </row>
    <row r="3" spans="1:64" s="20" customFormat="1" ht="30" customHeight="1" x14ac:dyDescent="0.25">
      <c r="A3" s="7"/>
      <c r="B3" s="19" t="s">
        <v>5</v>
      </c>
      <c r="D3" s="21"/>
      <c r="E3" s="22"/>
    </row>
    <row r="4" spans="1:64" s="20" customFormat="1" ht="30" customHeight="1" x14ac:dyDescent="0.25">
      <c r="A4" s="8"/>
      <c r="B4" s="23" t="s">
        <v>6</v>
      </c>
      <c r="E4" s="24"/>
      <c r="I4" s="93">
        <f>I5</f>
        <v>46083</v>
      </c>
      <c r="J4" s="91"/>
      <c r="K4" s="91"/>
      <c r="L4" s="91"/>
      <c r="M4" s="91"/>
      <c r="N4" s="91"/>
      <c r="O4" s="91"/>
      <c r="P4" s="91">
        <f>P5</f>
        <v>46090</v>
      </c>
      <c r="Q4" s="91"/>
      <c r="R4" s="91"/>
      <c r="S4" s="91"/>
      <c r="T4" s="91"/>
      <c r="U4" s="91"/>
      <c r="V4" s="91"/>
      <c r="W4" s="91">
        <f>W5</f>
        <v>46097</v>
      </c>
      <c r="X4" s="91"/>
      <c r="Y4" s="91"/>
      <c r="Z4" s="91"/>
      <c r="AA4" s="91"/>
      <c r="AB4" s="91"/>
      <c r="AC4" s="91"/>
      <c r="AD4" s="91">
        <f>AD5</f>
        <v>46104</v>
      </c>
      <c r="AE4" s="91"/>
      <c r="AF4" s="91"/>
      <c r="AG4" s="91"/>
      <c r="AH4" s="91"/>
      <c r="AI4" s="91"/>
      <c r="AJ4" s="91"/>
      <c r="AK4" s="91">
        <f>AK5</f>
        <v>46111</v>
      </c>
      <c r="AL4" s="91"/>
      <c r="AM4" s="91"/>
      <c r="AN4" s="91"/>
      <c r="AO4" s="91"/>
      <c r="AP4" s="91"/>
      <c r="AQ4" s="91"/>
      <c r="AR4" s="91">
        <f>AR5</f>
        <v>46118</v>
      </c>
      <c r="AS4" s="91"/>
      <c r="AT4" s="91"/>
      <c r="AU4" s="91"/>
      <c r="AV4" s="91"/>
      <c r="AW4" s="91"/>
      <c r="AX4" s="91"/>
      <c r="AY4" s="91">
        <f>AY5</f>
        <v>46125</v>
      </c>
      <c r="AZ4" s="91"/>
      <c r="BA4" s="91"/>
      <c r="BB4" s="91"/>
      <c r="BC4" s="91"/>
      <c r="BD4" s="91"/>
      <c r="BE4" s="91"/>
      <c r="BF4" s="91">
        <f>BF5</f>
        <v>46132</v>
      </c>
      <c r="BG4" s="91"/>
      <c r="BH4" s="91"/>
      <c r="BI4" s="91"/>
      <c r="BJ4" s="91"/>
      <c r="BK4" s="91"/>
      <c r="BL4" s="92"/>
    </row>
    <row r="5" spans="1:64" s="20" customFormat="1" ht="15" customHeight="1" x14ac:dyDescent="0.25">
      <c r="A5" s="97"/>
      <c r="B5" s="98" t="s">
        <v>4</v>
      </c>
      <c r="C5" s="94" t="s">
        <v>21</v>
      </c>
      <c r="D5" s="94" t="s">
        <v>1</v>
      </c>
      <c r="E5" s="94" t="s">
        <v>2</v>
      </c>
      <c r="F5" s="94" t="s">
        <v>3</v>
      </c>
      <c r="I5" s="25">
        <f>Project_Start-WEEKDAY(Project_Start,1)+2+7*(Display_Week-1)</f>
        <v>46083</v>
      </c>
      <c r="J5" s="25">
        <f>I5+1</f>
        <v>46084</v>
      </c>
      <c r="K5" s="25">
        <f t="shared" ref="K5:AX5" si="0">J5+1</f>
        <v>46085</v>
      </c>
      <c r="L5" s="25">
        <f t="shared" si="0"/>
        <v>46086</v>
      </c>
      <c r="M5" s="25">
        <f t="shared" si="0"/>
        <v>46087</v>
      </c>
      <c r="N5" s="25">
        <f t="shared" si="0"/>
        <v>46088</v>
      </c>
      <c r="O5" s="26">
        <f t="shared" si="0"/>
        <v>46089</v>
      </c>
      <c r="P5" s="27">
        <f>O5+1</f>
        <v>46090</v>
      </c>
      <c r="Q5" s="25">
        <f>P5+1</f>
        <v>46091</v>
      </c>
      <c r="R5" s="25">
        <f t="shared" si="0"/>
        <v>46092</v>
      </c>
      <c r="S5" s="25">
        <f t="shared" si="0"/>
        <v>46093</v>
      </c>
      <c r="T5" s="25">
        <f t="shared" si="0"/>
        <v>46094</v>
      </c>
      <c r="U5" s="25">
        <f t="shared" si="0"/>
        <v>46095</v>
      </c>
      <c r="V5" s="26">
        <f t="shared" si="0"/>
        <v>46096</v>
      </c>
      <c r="W5" s="27">
        <f>V5+1</f>
        <v>46097</v>
      </c>
      <c r="X5" s="25">
        <f>W5+1</f>
        <v>46098</v>
      </c>
      <c r="Y5" s="25">
        <f t="shared" si="0"/>
        <v>46099</v>
      </c>
      <c r="Z5" s="25">
        <f t="shared" si="0"/>
        <v>46100</v>
      </c>
      <c r="AA5" s="25">
        <f t="shared" si="0"/>
        <v>46101</v>
      </c>
      <c r="AB5" s="25">
        <f t="shared" si="0"/>
        <v>46102</v>
      </c>
      <c r="AC5" s="26">
        <f t="shared" si="0"/>
        <v>46103</v>
      </c>
      <c r="AD5" s="27">
        <f>AC5+1</f>
        <v>46104</v>
      </c>
      <c r="AE5" s="25">
        <f>AD5+1</f>
        <v>46105</v>
      </c>
      <c r="AF5" s="25">
        <f t="shared" si="0"/>
        <v>46106</v>
      </c>
      <c r="AG5" s="25">
        <f t="shared" si="0"/>
        <v>46107</v>
      </c>
      <c r="AH5" s="25">
        <f t="shared" si="0"/>
        <v>46108</v>
      </c>
      <c r="AI5" s="25">
        <f t="shared" si="0"/>
        <v>46109</v>
      </c>
      <c r="AJ5" s="26">
        <f t="shared" si="0"/>
        <v>46110</v>
      </c>
      <c r="AK5" s="27">
        <f>AJ5+1</f>
        <v>46111</v>
      </c>
      <c r="AL5" s="25">
        <f>AK5+1</f>
        <v>46112</v>
      </c>
      <c r="AM5" s="25">
        <f t="shared" si="0"/>
        <v>46113</v>
      </c>
      <c r="AN5" s="25">
        <f t="shared" si="0"/>
        <v>46114</v>
      </c>
      <c r="AO5" s="25">
        <f t="shared" si="0"/>
        <v>46115</v>
      </c>
      <c r="AP5" s="25">
        <f t="shared" si="0"/>
        <v>46116</v>
      </c>
      <c r="AQ5" s="26">
        <f t="shared" si="0"/>
        <v>46117</v>
      </c>
      <c r="AR5" s="27">
        <f>AQ5+1</f>
        <v>46118</v>
      </c>
      <c r="AS5" s="25">
        <f>AR5+1</f>
        <v>46119</v>
      </c>
      <c r="AT5" s="25">
        <f t="shared" si="0"/>
        <v>46120</v>
      </c>
      <c r="AU5" s="25">
        <f t="shared" si="0"/>
        <v>46121</v>
      </c>
      <c r="AV5" s="25">
        <f t="shared" si="0"/>
        <v>46122</v>
      </c>
      <c r="AW5" s="25">
        <f t="shared" si="0"/>
        <v>46123</v>
      </c>
      <c r="AX5" s="26">
        <f t="shared" si="0"/>
        <v>46124</v>
      </c>
      <c r="AY5" s="27">
        <f>AX5+1</f>
        <v>46125</v>
      </c>
      <c r="AZ5" s="25">
        <f>AY5+1</f>
        <v>46126</v>
      </c>
      <c r="BA5" s="25">
        <f t="shared" ref="BA5:BE5" si="1">AZ5+1</f>
        <v>46127</v>
      </c>
      <c r="BB5" s="25">
        <f t="shared" si="1"/>
        <v>46128</v>
      </c>
      <c r="BC5" s="25">
        <f t="shared" si="1"/>
        <v>46129</v>
      </c>
      <c r="BD5" s="25">
        <f t="shared" si="1"/>
        <v>46130</v>
      </c>
      <c r="BE5" s="26">
        <f t="shared" si="1"/>
        <v>46131</v>
      </c>
      <c r="BF5" s="27">
        <f>BE5+1</f>
        <v>46132</v>
      </c>
      <c r="BG5" s="25">
        <f>BF5+1</f>
        <v>46133</v>
      </c>
      <c r="BH5" s="25">
        <f t="shared" ref="BH5:BL5" si="2">BG5+1</f>
        <v>46134</v>
      </c>
      <c r="BI5" s="25">
        <f t="shared" si="2"/>
        <v>46135</v>
      </c>
      <c r="BJ5" s="25">
        <f t="shared" si="2"/>
        <v>46136</v>
      </c>
      <c r="BK5" s="25">
        <f t="shared" si="2"/>
        <v>46137</v>
      </c>
      <c r="BL5" s="25">
        <f t="shared" si="2"/>
        <v>46138</v>
      </c>
    </row>
    <row r="6" spans="1:64" s="20" customFormat="1" ht="15" customHeight="1" thickBot="1" x14ac:dyDescent="0.3">
      <c r="A6" s="97"/>
      <c r="B6" s="99"/>
      <c r="C6" s="100"/>
      <c r="D6" s="95"/>
      <c r="E6" s="95"/>
      <c r="F6" s="95"/>
      <c r="I6" s="28" t="str">
        <f t="shared" ref="I6:AN6" si="3">LEFT(TEXT(I5,"ddd"),1)</f>
        <v>M</v>
      </c>
      <c r="J6" s="29" t="str">
        <f t="shared" si="3"/>
        <v>T</v>
      </c>
      <c r="K6" s="29" t="str">
        <f t="shared" si="3"/>
        <v>W</v>
      </c>
      <c r="L6" s="29" t="str">
        <f t="shared" si="3"/>
        <v>T</v>
      </c>
      <c r="M6" s="29" t="str">
        <f t="shared" si="3"/>
        <v>F</v>
      </c>
      <c r="N6" s="29" t="str">
        <f t="shared" si="3"/>
        <v>S</v>
      </c>
      <c r="O6" s="29" t="str">
        <f t="shared" si="3"/>
        <v>S</v>
      </c>
      <c r="P6" s="29" t="str">
        <f t="shared" si="3"/>
        <v>M</v>
      </c>
      <c r="Q6" s="29" t="str">
        <f t="shared" si="3"/>
        <v>T</v>
      </c>
      <c r="R6" s="29" t="str">
        <f t="shared" si="3"/>
        <v>W</v>
      </c>
      <c r="S6" s="29" t="str">
        <f t="shared" si="3"/>
        <v>T</v>
      </c>
      <c r="T6" s="29" t="str">
        <f t="shared" si="3"/>
        <v>F</v>
      </c>
      <c r="U6" s="29" t="str">
        <f t="shared" si="3"/>
        <v>S</v>
      </c>
      <c r="V6" s="29" t="str">
        <f t="shared" si="3"/>
        <v>S</v>
      </c>
      <c r="W6" s="29" t="str">
        <f t="shared" si="3"/>
        <v>M</v>
      </c>
      <c r="X6" s="29" t="str">
        <f t="shared" si="3"/>
        <v>T</v>
      </c>
      <c r="Y6" s="29" t="str">
        <f t="shared" si="3"/>
        <v>W</v>
      </c>
      <c r="Z6" s="29" t="str">
        <f t="shared" si="3"/>
        <v>T</v>
      </c>
      <c r="AA6" s="29" t="str">
        <f t="shared" si="3"/>
        <v>F</v>
      </c>
      <c r="AB6" s="29" t="str">
        <f t="shared" si="3"/>
        <v>S</v>
      </c>
      <c r="AC6" s="29" t="str">
        <f t="shared" si="3"/>
        <v>S</v>
      </c>
      <c r="AD6" s="29" t="str">
        <f t="shared" si="3"/>
        <v>M</v>
      </c>
      <c r="AE6" s="29" t="str">
        <f t="shared" si="3"/>
        <v>T</v>
      </c>
      <c r="AF6" s="29" t="str">
        <f t="shared" si="3"/>
        <v>W</v>
      </c>
      <c r="AG6" s="29" t="str">
        <f t="shared" si="3"/>
        <v>T</v>
      </c>
      <c r="AH6" s="29" t="str">
        <f t="shared" si="3"/>
        <v>F</v>
      </c>
      <c r="AI6" s="29" t="str">
        <f t="shared" si="3"/>
        <v>S</v>
      </c>
      <c r="AJ6" s="29" t="str">
        <f t="shared" si="3"/>
        <v>S</v>
      </c>
      <c r="AK6" s="29" t="str">
        <f t="shared" si="3"/>
        <v>M</v>
      </c>
      <c r="AL6" s="29" t="str">
        <f t="shared" si="3"/>
        <v>T</v>
      </c>
      <c r="AM6" s="29" t="str">
        <f t="shared" si="3"/>
        <v>W</v>
      </c>
      <c r="AN6" s="29" t="str">
        <f t="shared" si="3"/>
        <v>T</v>
      </c>
      <c r="AO6" s="29" t="str">
        <f t="shared" ref="AO6:BL6" si="4">LEFT(TEXT(AO5,"ddd"),1)</f>
        <v>F</v>
      </c>
      <c r="AP6" s="29" t="str">
        <f t="shared" si="4"/>
        <v>S</v>
      </c>
      <c r="AQ6" s="29" t="str">
        <f t="shared" si="4"/>
        <v>S</v>
      </c>
      <c r="AR6" s="29" t="str">
        <f t="shared" si="4"/>
        <v>M</v>
      </c>
      <c r="AS6" s="29" t="str">
        <f t="shared" si="4"/>
        <v>T</v>
      </c>
      <c r="AT6" s="29" t="str">
        <f t="shared" si="4"/>
        <v>W</v>
      </c>
      <c r="AU6" s="29" t="str">
        <f t="shared" si="4"/>
        <v>T</v>
      </c>
      <c r="AV6" s="29" t="str">
        <f t="shared" si="4"/>
        <v>F</v>
      </c>
      <c r="AW6" s="29" t="str">
        <f t="shared" si="4"/>
        <v>S</v>
      </c>
      <c r="AX6" s="29" t="str">
        <f t="shared" si="4"/>
        <v>S</v>
      </c>
      <c r="AY6" s="29" t="str">
        <f t="shared" si="4"/>
        <v>M</v>
      </c>
      <c r="AZ6" s="29" t="str">
        <f t="shared" si="4"/>
        <v>T</v>
      </c>
      <c r="BA6" s="29" t="str">
        <f t="shared" si="4"/>
        <v>W</v>
      </c>
      <c r="BB6" s="29" t="str">
        <f t="shared" si="4"/>
        <v>T</v>
      </c>
      <c r="BC6" s="29" t="str">
        <f t="shared" si="4"/>
        <v>F</v>
      </c>
      <c r="BD6" s="29" t="str">
        <f t="shared" si="4"/>
        <v>S</v>
      </c>
      <c r="BE6" s="29" t="str">
        <f t="shared" si="4"/>
        <v>S</v>
      </c>
      <c r="BF6" s="29" t="str">
        <f t="shared" si="4"/>
        <v>M</v>
      </c>
      <c r="BG6" s="29" t="str">
        <f t="shared" si="4"/>
        <v>T</v>
      </c>
      <c r="BH6" s="29" t="str">
        <f t="shared" si="4"/>
        <v>W</v>
      </c>
      <c r="BI6" s="29" t="str">
        <f t="shared" si="4"/>
        <v>T</v>
      </c>
      <c r="BJ6" s="29" t="str">
        <f t="shared" si="4"/>
        <v>F</v>
      </c>
      <c r="BK6" s="29" t="str">
        <f t="shared" si="4"/>
        <v>S</v>
      </c>
      <c r="BL6" s="30" t="str">
        <f t="shared" si="4"/>
        <v>S</v>
      </c>
    </row>
    <row r="7" spans="1:64" s="20" customFormat="1" ht="30" hidden="1" customHeight="1" thickBot="1" x14ac:dyDescent="0.3">
      <c r="A7" s="7" t="s">
        <v>7</v>
      </c>
      <c r="B7" s="31"/>
      <c r="C7" s="32"/>
      <c r="D7" s="31"/>
      <c r="E7" s="31"/>
      <c r="F7" s="31"/>
      <c r="H7" s="20" t="str">
        <f>IF(OR(ISBLANK(task_start),ISBLANK(task_end)),"",task_end-task_start+1)</f>
        <v/>
      </c>
      <c r="I7" s="33"/>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64" s="40" customFormat="1" ht="30" customHeight="1" thickBot="1" x14ac:dyDescent="0.3">
      <c r="A8" s="8"/>
      <c r="B8" s="34" t="s">
        <v>10</v>
      </c>
      <c r="C8" s="35"/>
      <c r="D8" s="36"/>
      <c r="E8" s="37"/>
      <c r="F8" s="38"/>
      <c r="G8" s="11"/>
      <c r="H8" s="5" t="str">
        <f t="shared" ref="H8:H29" si="5">IF(OR(ISBLANK(task_start),ISBLANK(task_end)),"",task_end-task_start+1)</f>
        <v/>
      </c>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row>
    <row r="9" spans="1:64" s="40" customFormat="1" ht="30" customHeight="1" thickBot="1" x14ac:dyDescent="0.3">
      <c r="A9" s="8"/>
      <c r="B9" s="41" t="s">
        <v>19</v>
      </c>
      <c r="C9" s="101" t="s">
        <v>25</v>
      </c>
      <c r="D9" s="42">
        <v>0</v>
      </c>
      <c r="E9" s="43">
        <f>Project_Start</f>
        <v>46087</v>
      </c>
      <c r="F9" s="43">
        <f>E9+7</f>
        <v>46094</v>
      </c>
      <c r="G9" s="11"/>
      <c r="H9" s="5">
        <f t="shared" si="5"/>
        <v>8</v>
      </c>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row>
    <row r="10" spans="1:64" s="40" customFormat="1" ht="30" customHeight="1" thickBot="1" x14ac:dyDescent="0.3">
      <c r="A10" s="8"/>
      <c r="B10" s="45" t="s">
        <v>26</v>
      </c>
      <c r="C10" s="102" t="s">
        <v>25</v>
      </c>
      <c r="D10" s="46">
        <v>0</v>
      </c>
      <c r="E10" s="47">
        <f>F9</f>
        <v>46094</v>
      </c>
      <c r="F10" s="47">
        <f>E10+1</f>
        <v>46095</v>
      </c>
      <c r="G10" s="11"/>
      <c r="H10" s="5">
        <f t="shared" si="5"/>
        <v>2</v>
      </c>
      <c r="I10" s="44"/>
      <c r="J10" s="44"/>
      <c r="K10" s="44"/>
      <c r="L10" s="44"/>
      <c r="M10" s="44"/>
      <c r="N10" s="44"/>
      <c r="O10" s="44"/>
      <c r="P10" s="44"/>
      <c r="Q10" s="44"/>
      <c r="R10" s="44"/>
      <c r="S10" s="44"/>
      <c r="T10" s="44"/>
      <c r="U10" s="48"/>
      <c r="V10" s="48"/>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row>
    <row r="11" spans="1:64" s="40" customFormat="1" ht="30" customHeight="1" thickBot="1" x14ac:dyDescent="0.3">
      <c r="A11" s="7"/>
      <c r="B11" s="45" t="s">
        <v>20</v>
      </c>
      <c r="C11" s="102" t="s">
        <v>24</v>
      </c>
      <c r="D11" s="46">
        <v>0</v>
      </c>
      <c r="E11" s="47">
        <f>E10+1</f>
        <v>46095</v>
      </c>
      <c r="F11" s="47">
        <f>E11+1</f>
        <v>46096</v>
      </c>
      <c r="G11" s="11"/>
      <c r="H11" s="5">
        <f t="shared" si="5"/>
        <v>2</v>
      </c>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row>
    <row r="12" spans="1:64" s="40" customFormat="1" ht="30" customHeight="1" thickBot="1" x14ac:dyDescent="0.3">
      <c r="A12" s="7"/>
      <c r="B12" s="109" t="s">
        <v>27</v>
      </c>
      <c r="C12" s="110" t="s">
        <v>24</v>
      </c>
      <c r="D12" s="46">
        <v>0</v>
      </c>
      <c r="E12" s="47">
        <f>E10+1</f>
        <v>46095</v>
      </c>
      <c r="F12" s="47">
        <f>E12+1</f>
        <v>46096</v>
      </c>
      <c r="G12" s="11"/>
      <c r="H12" s="5"/>
      <c r="I12" s="111"/>
      <c r="J12" s="111"/>
      <c r="K12" s="111"/>
      <c r="L12" s="111"/>
      <c r="M12" s="111"/>
      <c r="N12" s="111"/>
      <c r="O12" s="111"/>
      <c r="P12" s="111"/>
      <c r="Q12" s="111"/>
      <c r="R12" s="111"/>
      <c r="S12" s="111"/>
      <c r="T12" s="111"/>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row>
    <row r="13" spans="1:64" s="40" customFormat="1" ht="30" customHeight="1" thickBot="1" x14ac:dyDescent="0.3">
      <c r="A13" s="8"/>
      <c r="B13" s="49" t="s">
        <v>11</v>
      </c>
      <c r="C13" s="103"/>
      <c r="D13" s="50"/>
      <c r="E13" s="51"/>
      <c r="F13" s="52"/>
      <c r="G13" s="11"/>
      <c r="H13" s="5" t="str">
        <f t="shared" si="5"/>
        <v/>
      </c>
    </row>
    <row r="14" spans="1:64" s="40" customFormat="1" ht="30" customHeight="1" thickBot="1" x14ac:dyDescent="0.3">
      <c r="A14" s="8"/>
      <c r="B14" s="53" t="s">
        <v>29</v>
      </c>
      <c r="C14" s="104" t="s">
        <v>25</v>
      </c>
      <c r="D14" s="54">
        <v>0</v>
      </c>
      <c r="E14" s="55">
        <f>F11</f>
        <v>46096</v>
      </c>
      <c r="F14" s="55">
        <f>E14+7</f>
        <v>46103</v>
      </c>
      <c r="G14" s="11"/>
      <c r="H14" s="5">
        <f t="shared" si="5"/>
        <v>8</v>
      </c>
      <c r="I14" s="44"/>
      <c r="J14" s="44"/>
      <c r="K14" s="44"/>
      <c r="L14" s="85"/>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row>
    <row r="15" spans="1:64" s="40" customFormat="1" ht="30" customHeight="1" thickBot="1" x14ac:dyDescent="0.3">
      <c r="A15" s="7"/>
      <c r="B15" s="112" t="s">
        <v>35</v>
      </c>
      <c r="C15" s="104" t="s">
        <v>23</v>
      </c>
      <c r="D15" s="54">
        <v>0</v>
      </c>
      <c r="E15" s="55">
        <f>F11</f>
        <v>46096</v>
      </c>
      <c r="F15" s="55">
        <f t="shared" ref="F15:F17" si="6">E15+7</f>
        <v>46103</v>
      </c>
      <c r="G15" s="11"/>
      <c r="H15" s="5">
        <f t="shared" si="5"/>
        <v>8</v>
      </c>
      <c r="I15" s="44"/>
      <c r="J15" s="44"/>
      <c r="K15" s="44"/>
      <c r="L15" s="44"/>
      <c r="M15" s="44"/>
      <c r="N15" s="44"/>
      <c r="O15" s="44"/>
      <c r="P15" s="44"/>
      <c r="Q15" s="44"/>
      <c r="R15" s="44"/>
      <c r="S15" s="44"/>
      <c r="T15" s="44"/>
      <c r="U15" s="48"/>
      <c r="V15" s="48"/>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row>
    <row r="16" spans="1:64" s="40" customFormat="1" ht="30" customHeight="1" thickBot="1" x14ac:dyDescent="0.3">
      <c r="A16" s="7"/>
      <c r="B16" s="53" t="s">
        <v>32</v>
      </c>
      <c r="C16" s="104" t="s">
        <v>24</v>
      </c>
      <c r="D16" s="54">
        <v>0</v>
      </c>
      <c r="E16" s="55">
        <f>F11</f>
        <v>46096</v>
      </c>
      <c r="F16" s="55">
        <f t="shared" si="6"/>
        <v>46103</v>
      </c>
      <c r="G16" s="11"/>
      <c r="H16" s="5">
        <f t="shared" si="5"/>
        <v>8</v>
      </c>
      <c r="I16" s="44"/>
      <c r="J16" s="44"/>
      <c r="K16" s="4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row>
    <row r="17" spans="1:64" s="40" customFormat="1" ht="30" customHeight="1" thickBot="1" x14ac:dyDescent="0.3">
      <c r="A17" s="7"/>
      <c r="B17" s="53" t="s">
        <v>30</v>
      </c>
      <c r="C17" s="104" t="s">
        <v>25</v>
      </c>
      <c r="D17" s="54">
        <v>0</v>
      </c>
      <c r="E17" s="55">
        <f>F11</f>
        <v>46096</v>
      </c>
      <c r="F17" s="55">
        <f t="shared" si="6"/>
        <v>46103</v>
      </c>
      <c r="G17" s="11"/>
      <c r="H17" s="5"/>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row>
    <row r="18" spans="1:64" s="40" customFormat="1" ht="30" customHeight="1" thickBot="1" x14ac:dyDescent="0.3">
      <c r="A18" s="7"/>
      <c r="B18" s="53" t="s">
        <v>31</v>
      </c>
      <c r="C18" s="104" t="s">
        <v>24</v>
      </c>
      <c r="D18" s="54">
        <v>0</v>
      </c>
      <c r="E18" s="55">
        <f>F11</f>
        <v>46096</v>
      </c>
      <c r="F18" s="55">
        <f>E18+10</f>
        <v>46106</v>
      </c>
      <c r="G18" s="11"/>
      <c r="H18" s="5">
        <f t="shared" si="5"/>
        <v>11</v>
      </c>
      <c r="I18" s="44"/>
      <c r="J18" s="44"/>
      <c r="K18" s="44"/>
      <c r="L18" s="44"/>
      <c r="M18" s="44"/>
      <c r="N18" s="44"/>
      <c r="O18" s="44"/>
      <c r="P18" s="44"/>
      <c r="Q18" s="44"/>
      <c r="R18" s="44"/>
      <c r="S18" s="44"/>
      <c r="T18" s="44"/>
      <c r="U18" s="44"/>
      <c r="V18" s="44"/>
      <c r="W18" s="44"/>
      <c r="X18" s="44"/>
      <c r="Y18" s="48"/>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row>
    <row r="19" spans="1:64" s="40" customFormat="1" ht="30" customHeight="1" thickBot="1" x14ac:dyDescent="0.3">
      <c r="A19" s="7"/>
      <c r="B19" s="56" t="s">
        <v>12</v>
      </c>
      <c r="C19" s="105"/>
      <c r="D19" s="57"/>
      <c r="E19" s="58"/>
      <c r="F19" s="59"/>
      <c r="G19" s="11"/>
      <c r="H19" s="5" t="str">
        <f t="shared" si="5"/>
        <v/>
      </c>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row>
    <row r="20" spans="1:64" s="40" customFormat="1" ht="30" customHeight="1" thickBot="1" x14ac:dyDescent="0.3">
      <c r="A20" s="7"/>
      <c r="B20" s="61" t="s">
        <v>13</v>
      </c>
      <c r="C20" s="106" t="s">
        <v>25</v>
      </c>
      <c r="D20" s="62">
        <v>1</v>
      </c>
      <c r="E20" s="63">
        <f>E9</f>
        <v>46087</v>
      </c>
      <c r="F20" s="63">
        <f>E20+7</f>
        <v>46094</v>
      </c>
      <c r="G20" s="11"/>
      <c r="H20" s="5">
        <f t="shared" si="5"/>
        <v>8</v>
      </c>
      <c r="I20" s="44"/>
      <c r="J20" s="44"/>
      <c r="K20" s="44"/>
      <c r="L20" s="44"/>
      <c r="M20" s="44"/>
      <c r="N20" s="44"/>
      <c r="O20" s="44"/>
      <c r="P20" s="44"/>
      <c r="Q20" s="44"/>
      <c r="R20" s="44"/>
      <c r="S20" s="44"/>
      <c r="T20" s="44"/>
      <c r="U20" s="44"/>
      <c r="V20" s="44"/>
      <c r="W20" s="44"/>
      <c r="X20" s="44"/>
      <c r="Y20" s="44"/>
      <c r="Z20" s="44"/>
      <c r="AA20" s="44"/>
      <c r="AB20" s="86"/>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row>
    <row r="21" spans="1:64" s="40" customFormat="1" ht="30" customHeight="1" thickBot="1" x14ac:dyDescent="0.3">
      <c r="A21" s="7"/>
      <c r="B21" s="61" t="s">
        <v>14</v>
      </c>
      <c r="C21" s="106" t="s">
        <v>24</v>
      </c>
      <c r="D21" s="62">
        <v>0</v>
      </c>
      <c r="E21" s="63">
        <f>E14+1</f>
        <v>46097</v>
      </c>
      <c r="F21" s="63">
        <f>F18+3</f>
        <v>46109</v>
      </c>
      <c r="G21" s="11"/>
      <c r="H21" s="5">
        <f t="shared" si="5"/>
        <v>13</v>
      </c>
      <c r="I21" s="44"/>
      <c r="J21" s="44"/>
      <c r="K21" s="44"/>
      <c r="L21" s="44"/>
      <c r="M21" s="85"/>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row>
    <row r="22" spans="1:64" s="40" customFormat="1" ht="30" customHeight="1" thickBot="1" x14ac:dyDescent="0.3">
      <c r="A22" s="7"/>
      <c r="B22" s="61" t="s">
        <v>28</v>
      </c>
      <c r="C22" s="106" t="s">
        <v>25</v>
      </c>
      <c r="D22" s="62">
        <v>0</v>
      </c>
      <c r="E22" s="63">
        <f>E15+1</f>
        <v>46097</v>
      </c>
      <c r="F22" s="63">
        <f>F18+3</f>
        <v>46109</v>
      </c>
      <c r="G22" s="11"/>
      <c r="H22" s="5"/>
      <c r="I22" s="44"/>
      <c r="J22" s="44"/>
      <c r="K22" s="44"/>
      <c r="L22" s="44"/>
      <c r="M22" s="85"/>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row>
    <row r="23" spans="1:64" s="40" customFormat="1" ht="30" customHeight="1" thickBot="1" x14ac:dyDescent="0.3">
      <c r="A23" s="7"/>
      <c r="B23" s="61" t="s">
        <v>18</v>
      </c>
      <c r="C23" s="106" t="s">
        <v>23</v>
      </c>
      <c r="D23" s="62">
        <v>0</v>
      </c>
      <c r="E23" s="63">
        <f>E9</f>
        <v>46087</v>
      </c>
      <c r="F23" s="63">
        <f>F27</f>
        <v>46112</v>
      </c>
      <c r="G23" s="11"/>
      <c r="H23" s="5"/>
      <c r="I23" s="44"/>
      <c r="J23" s="44"/>
      <c r="K23" s="44"/>
      <c r="L23" s="44"/>
      <c r="M23" s="85"/>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row>
    <row r="24" spans="1:64" s="40" customFormat="1" ht="30" customHeight="1" thickBot="1" x14ac:dyDescent="0.3">
      <c r="A24" s="7"/>
      <c r="B24" s="61" t="s">
        <v>33</v>
      </c>
      <c r="C24" s="106" t="s">
        <v>23</v>
      </c>
      <c r="D24" s="62">
        <v>0</v>
      </c>
      <c r="E24" s="63">
        <f>F20</f>
        <v>46094</v>
      </c>
      <c r="F24" s="63">
        <f>F27-1</f>
        <v>46111</v>
      </c>
      <c r="G24" s="11"/>
      <c r="H24" s="5"/>
      <c r="I24" s="44"/>
      <c r="J24" s="44"/>
      <c r="K24" s="44"/>
      <c r="L24" s="44"/>
      <c r="M24" s="85"/>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row>
    <row r="25" spans="1:64" s="40" customFormat="1" ht="30" customHeight="1" thickBot="1" x14ac:dyDescent="0.3">
      <c r="A25" s="7"/>
      <c r="B25" s="61" t="s">
        <v>34</v>
      </c>
      <c r="C25" s="106" t="s">
        <v>23</v>
      </c>
      <c r="D25" s="62">
        <v>0</v>
      </c>
      <c r="E25" s="63">
        <f>F20</f>
        <v>46094</v>
      </c>
      <c r="F25" s="63">
        <f>F27-1</f>
        <v>46111</v>
      </c>
      <c r="G25" s="11"/>
      <c r="H25" s="5">
        <f t="shared" si="5"/>
        <v>18</v>
      </c>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row>
    <row r="26" spans="1:64" s="40" customFormat="1" ht="30" customHeight="1" thickBot="1" x14ac:dyDescent="0.3">
      <c r="A26" s="7"/>
      <c r="B26" s="64" t="s">
        <v>15</v>
      </c>
      <c r="C26" s="107"/>
      <c r="D26" s="65"/>
      <c r="E26" s="66"/>
      <c r="F26" s="67"/>
      <c r="G26" s="11"/>
      <c r="H26" s="5" t="str">
        <f t="shared" si="5"/>
        <v/>
      </c>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68"/>
      <c r="BH26" s="68"/>
      <c r="BI26" s="68"/>
      <c r="BJ26" s="68"/>
      <c r="BK26" s="68"/>
      <c r="BL26" s="68"/>
    </row>
    <row r="27" spans="1:64" s="40" customFormat="1" ht="30" customHeight="1" thickBot="1" x14ac:dyDescent="0.3">
      <c r="A27" s="7"/>
      <c r="B27" s="69" t="s">
        <v>16</v>
      </c>
      <c r="C27" s="108" t="s">
        <v>23</v>
      </c>
      <c r="D27" s="70">
        <v>0</v>
      </c>
      <c r="E27" s="71">
        <f>F25</f>
        <v>46111</v>
      </c>
      <c r="F27" s="71">
        <v>46112</v>
      </c>
      <c r="G27" s="11"/>
      <c r="H27" s="5">
        <f t="shared" si="5"/>
        <v>2</v>
      </c>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row>
    <row r="28" spans="1:64" s="40" customFormat="1" ht="30" customHeight="1" thickBot="1" x14ac:dyDescent="0.3">
      <c r="A28" s="7"/>
      <c r="B28" s="72"/>
      <c r="C28" s="73"/>
      <c r="D28" s="74"/>
      <c r="E28" s="75"/>
      <c r="F28" s="75"/>
      <c r="G28" s="11"/>
      <c r="H28" s="5" t="str">
        <f t="shared" si="5"/>
        <v/>
      </c>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row>
    <row r="29" spans="1:64" s="40" customFormat="1" ht="30" customHeight="1" thickBot="1" x14ac:dyDescent="0.3">
      <c r="A29" s="8"/>
      <c r="B29" s="76" t="s">
        <v>0</v>
      </c>
      <c r="C29" s="77"/>
      <c r="D29" s="78"/>
      <c r="E29" s="79"/>
      <c r="F29" s="80"/>
      <c r="G29" s="11"/>
      <c r="H29" s="6" t="str">
        <f t="shared" si="5"/>
        <v/>
      </c>
      <c r="I29" s="81"/>
      <c r="J29" s="81"/>
      <c r="K29" s="81"/>
      <c r="L29" s="81"/>
      <c r="M29" s="81"/>
      <c r="N29" s="81"/>
      <c r="O29" s="81"/>
      <c r="P29" s="81"/>
      <c r="Q29" s="81"/>
      <c r="R29" s="81"/>
      <c r="S29" s="81"/>
      <c r="T29" s="81"/>
      <c r="U29" s="81"/>
      <c r="V29" s="81"/>
      <c r="W29" s="81"/>
      <c r="X29" s="81"/>
      <c r="Y29" s="81"/>
      <c r="Z29" s="81"/>
      <c r="AA29" s="81"/>
      <c r="AB29" s="81"/>
      <c r="AC29" s="81"/>
      <c r="AD29" s="81"/>
      <c r="AE29" s="81"/>
      <c r="AF29" s="81"/>
      <c r="AG29" s="81"/>
      <c r="AH29" s="81"/>
      <c r="AI29" s="81"/>
      <c r="AJ29" s="81"/>
      <c r="AK29" s="81"/>
      <c r="AL29" s="81"/>
      <c r="AM29" s="81"/>
      <c r="AN29" s="81"/>
      <c r="AO29" s="81"/>
      <c r="AP29" s="81"/>
      <c r="AQ29" s="81"/>
      <c r="AR29" s="81"/>
      <c r="AS29" s="81"/>
      <c r="AT29" s="81"/>
      <c r="AU29" s="81"/>
      <c r="AV29" s="81"/>
      <c r="AW29" s="81"/>
      <c r="AX29" s="81"/>
      <c r="AY29" s="81"/>
      <c r="AZ29" s="81"/>
      <c r="BA29" s="81"/>
      <c r="BB29" s="81"/>
      <c r="BC29" s="81"/>
      <c r="BD29" s="81"/>
      <c r="BE29" s="81"/>
      <c r="BF29" s="81"/>
      <c r="BG29" s="81"/>
      <c r="BH29" s="81"/>
      <c r="BI29" s="81"/>
      <c r="BJ29" s="81"/>
      <c r="BK29" s="81"/>
      <c r="BL29" s="81"/>
    </row>
    <row r="30" spans="1:64" ht="30" customHeight="1" x14ac:dyDescent="0.25">
      <c r="G30" s="3"/>
    </row>
    <row r="31" spans="1:64" ht="30" customHeight="1" x14ac:dyDescent="0.25">
      <c r="C31" s="10"/>
      <c r="F31" s="9"/>
    </row>
    <row r="32" spans="1:64" ht="30" customHeight="1" x14ac:dyDescent="0.25">
      <c r="C32" s="4"/>
    </row>
  </sheetData>
  <mergeCells count="20">
    <mergeCell ref="A5:A6"/>
    <mergeCell ref="B5:B6"/>
    <mergeCell ref="C5:C6"/>
    <mergeCell ref="D5:D6"/>
    <mergeCell ref="E5:E6"/>
    <mergeCell ref="F5:F6"/>
    <mergeCell ref="Q2:Z2"/>
    <mergeCell ref="Q1:Z1"/>
    <mergeCell ref="I1:O1"/>
    <mergeCell ref="I2:O2"/>
    <mergeCell ref="AC1:AI1"/>
    <mergeCell ref="AK1:AT1"/>
    <mergeCell ref="BF4:BL4"/>
    <mergeCell ref="I4:O4"/>
    <mergeCell ref="P4:V4"/>
    <mergeCell ref="W4:AC4"/>
    <mergeCell ref="AD4:AJ4"/>
    <mergeCell ref="AK4:AQ4"/>
    <mergeCell ref="AR4:AX4"/>
    <mergeCell ref="AY4:BE4"/>
  </mergeCells>
  <conditionalFormatting sqref="D7:D29">
    <cfRule type="dataBar" priority="41">
      <dataBar>
        <cfvo type="num" val="0"/>
        <cfvo type="num" val="1"/>
        <color theme="0"/>
      </dataBar>
      <extLst>
        <ext xmlns:x14="http://schemas.microsoft.com/office/spreadsheetml/2009/9/main" uri="{B025F937-C7B1-47D3-B67F-A62EFF666E3E}">
          <x14:id>{B0389232-4C98-4A03-AD0E-39F63BAD1F53}</x14:id>
        </ext>
      </extLst>
    </cfRule>
  </conditionalFormatting>
  <conditionalFormatting sqref="I4:BL27">
    <cfRule type="expression" dxfId="8" priority="1">
      <formula>AND(TODAY()&gt;=I$5, TODAY()&lt;J$5)</formula>
    </cfRule>
  </conditionalFormatting>
  <conditionalFormatting sqref="I9:BL12">
    <cfRule type="expression" dxfId="7" priority="24">
      <formula>AND(task_start&lt;=I$5,ROUNDDOWN((task_end-task_start+1)*task_progress,0)+task_start-1&gt;=I$5)</formula>
    </cfRule>
    <cfRule type="expression" dxfId="6" priority="25" stopIfTrue="1">
      <formula>AND(task_end&gt;=I$5,task_start&lt;J$5)</formula>
    </cfRule>
  </conditionalFormatting>
  <conditionalFormatting sqref="I14:BL18">
    <cfRule type="expression" dxfId="5" priority="22">
      <formula>AND(task_start&lt;=I$5,ROUNDDOWN((task_end-task_start+1)*task_progress,0)+task_start-1&gt;=I$5)</formula>
    </cfRule>
    <cfRule type="expression" dxfId="4" priority="23" stopIfTrue="1">
      <formula>AND(task_end&gt;=I$5,task_start&lt;J$5)</formula>
    </cfRule>
  </conditionalFormatting>
  <conditionalFormatting sqref="I20:BL25">
    <cfRule type="expression" dxfId="3" priority="2">
      <formula>AND(task_start&lt;=I$5,ROUNDDOWN((task_end-task_start+1)*task_progress,0)+task_start-1&gt;=I$5)</formula>
    </cfRule>
    <cfRule type="expression" dxfId="2" priority="3" stopIfTrue="1">
      <formula>AND(task_end&gt;=I$5,task_start&lt;J$5)</formula>
    </cfRule>
  </conditionalFormatting>
  <conditionalFormatting sqref="I27:BL27">
    <cfRule type="expression" dxfId="1" priority="54">
      <formula>AND(task_start&lt;=I$5,ROUNDDOWN((task_end-task_start+1)*task_progress,0)+task_start-1&gt;=I$5)</formula>
    </cfRule>
    <cfRule type="expression" dxfId="0" priority="55" stopIfTrue="1">
      <formula>AND(task_end&gt;=I$5,task_start&lt;J$5)</formula>
    </cfRule>
  </conditionalFormatting>
  <dataValidations disablePrompts="1" count="13">
    <dataValidation type="whole" operator="greaterThanOrEqual" allowBlank="1" showInputMessage="1" promptTitle="Display Week" prompt="Changing this number will scroll the Gantt Chart view." sqref="Q2" xr:uid="{00000000-0002-0000-0000-000000000000}">
      <formula1>1</formula1>
    </dataValidation>
    <dataValidation allowBlank="1" showInputMessage="1" showErrorMessage="1" prompt="Create a Project Schedule in this worksheet._x000a_Enter title of this project in cell B1. _x000a_Information on how to use this worksheet, including instructions for screen readers and the author of this workbook, is in the About worksheet._x000a_" sqref="A1" xr:uid="{D005F8F4-EA16-4627-8A05-1997BE425B88}"/>
    <dataValidation allowBlank="1" showInputMessage="1" showErrorMessage="1" prompt="Enter Company name in cel B2." sqref="A2" xr:uid="{75F274B0-5B30-4CC0-A53C-C012C0845179}"/>
    <dataValidation allowBlank="1" showInputMessage="1" showErrorMessage="1" prompt="Enter the name of the Project Lead in cell C3. Enter the Project Start date in cell Q1. Project Start: label is in cell I1." sqref="A3" xr:uid="{EEA7C783-457F-401F-98B9-9035587B9210}"/>
    <dataValidation allowBlank="1" showInputMessage="1" showErrorMessage="1" prompt="The Display week in cell Q2 is the starting week to display in the project schedule in cell I4. The project start date is Week 1. To change the display week, enter a new week number in cell Q2._x000a__x000a_Start date for each week is auto calculated starting in I4." sqref="A4" xr:uid="{43382715-6BC7-4B19-A31B-4B13A11ED166}"/>
    <dataValidation allowBlank="1" showInputMessage="1" showErrorMessage="1" prompt="Cells I5 through BL5 contain the day number for the week represented in the cell block above each date and are auto calculated._x000a__x000a_Today's date is outlined from today's date in row 5 through the entire date column to the end of the project schedule." sqref="A5:A6" xr:uid="{7A3789A6-A3FB-43B6-A4F7-8C0AC564F67E}"/>
    <dataValidation allowBlank="1" showInputMessage="1" showErrorMessage="1" prompt="Cell B8 contains the Phase 1 sample title. Enter a new title in cell B8._x000a_To delete the phase and work only from tasks, simply delete this row." sqref="A8" xr:uid="{CEC78982-AFA8-419E-B0A2-676B709E5100}"/>
    <dataValidation allowBlank="1" showInputMessage="1" showErrorMessage="1" prompt="B9 contains the task name.  C9 is the assignee.  D9 is a progress bar that shades based on the number entered into the cell.  _x000a__x000a_E9 contains the start date and F9 contains the end date._x000a__x000a_The Gantt chart will fill in starting in cell I9 based on task dates." sqref="A9" xr:uid="{D870A2F6-6B07-4F5A-A81D-4BCCFADF8796}"/>
    <dataValidation allowBlank="1" showInputMessage="1" showErrorMessage="1" prompt="Rows 10 through 13 repeat the pattern from row 9. _x000a__x000a_Repeat the instructions from cell A9 for all task rows in this worksheet. _x000a__x000a_Continue entering tasks in cells A10 through A13 or go to cell A14 to learn more." sqref="A10" xr:uid="{872449A7-C3CC-45B6-BA90-B1AAD66BA0E5}"/>
    <dataValidation allowBlank="1" showInputMessage="1" showErrorMessage="1" prompt="Cell B14 contains the Phase 2 sample title. Enter a new title in cell B14._x000a_To delete the phase and work only from tasks, simply delete this row. To remove the phase, simply delete the row. Add tasks to previous phase by entering a new row above this one._x000a_" sqref="A13" xr:uid="{4F48FC41-E335-47F1-87AA-3333A52AD81C}"/>
    <dataValidation allowBlank="1" showInputMessage="1" showErrorMessage="1" prompt="Phase 3's sample block starts in cell B20." sqref="A19" xr:uid="{956902D1-D3B5-416D-BB69-9362D193BC0A}"/>
    <dataValidation allowBlank="1" showInputMessage="1" showErrorMessage="1" prompt="Phase 4's sample block starts in cell B26." sqref="A26" xr:uid="{DE54E5DE-526D-4D71-8D03-E99B4AB2FEE5}"/>
    <dataValidation allowBlank="1" showInputMessage="1" showErrorMessage="1" prompt="This row marks the end of the Project Schedule. DO NOT enter anything in this row. _x000a_Insert new rows ABOVE this one to continue building out your Project Schedule." sqref="A29" xr:uid="{79B9237E-4DD3-4E0F-8ED6-E0B695A99D96}"/>
  </dataValidations>
  <hyperlinks>
    <hyperlink ref="B4" r:id="rId1" xr:uid="{00000000-0004-0000-0000-000000000000}"/>
    <hyperlink ref="B3" r:id="rId2" xr:uid="{00000000-0004-0000-0000-000001000000}"/>
  </hyperlinks>
  <printOptions horizontalCentered="1"/>
  <pageMargins left="0.35" right="0.35" top="0.35" bottom="0.5" header="0.3" footer="0.3"/>
  <pageSetup scale="57" fitToHeight="0" orientation="landscape" r:id="rId3"/>
  <headerFooter differentFirst="1" scaleWithDoc="0">
    <oddFooter>Page &amp;P of &amp;N</oddFooter>
  </headerFooter>
  <drawing r:id="rId4"/>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D7:D29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8" ma:contentTypeDescription="Create a new document." ma:contentTypeScope="" ma:versionID="60f5a4f2d2b0abadcf532d48ebf9cb71">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7dd78129e6a1811f84807ad11c65153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element ref="ns2:MediaServiceObjectDetectorVersions" minOccurs="0"/>
                <xsd:element ref="ns2: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element name="MediaServiceObjectDetectorVersions" ma:index="31" nillable="true" ma:displayName="MediaServiceObjectDetectorVersions" ma:description="" ma:hidden="true" ma:indexed="true" ma:internalName="MediaServiceObjectDetectorVersions" ma:readOnly="true">
      <xsd:simpleType>
        <xsd:restriction base="dms:Text"/>
      </xsd:simpleType>
    </xsd:element>
    <xsd:element name="MediaServiceSystemTags" ma:index="32"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82239A0-E68C-493F-BEE6-C77FEA397FD6}">
  <ds:schemaRefs>
    <ds:schemaRef ds:uri="http://purl.org/dc/elements/1.1/"/>
    <ds:schemaRef ds:uri="16c05727-aa75-4e4a-9b5f-8a80a1165891"/>
    <ds:schemaRef ds:uri="http://schemas.microsoft.com/sharepoint/v3"/>
    <ds:schemaRef ds:uri="http://schemas.microsoft.com/office/2006/documentManagement/types"/>
    <ds:schemaRef ds:uri="http://schemas.microsoft.com/office/infopath/2007/PartnerControls"/>
    <ds:schemaRef ds:uri="http://purl.org/dc/dcmitype/"/>
    <ds:schemaRef ds:uri="http://schemas.openxmlformats.org/package/2006/metadata/core-properties"/>
    <ds:schemaRef ds:uri="230e9df3-be65-4c73-a93b-d1236ebd677e"/>
    <ds:schemaRef ds:uri="http://schemas.microsoft.com/office/2006/metadata/properties"/>
    <ds:schemaRef ds:uri="71af3243-3dd4-4a8d-8c0d-dd76da1f02a5"/>
    <ds:schemaRef ds:uri="http://www.w3.org/XML/1998/namespace"/>
    <ds:schemaRef ds:uri="http://purl.org/dc/terms/"/>
  </ds:schemaRefs>
</ds:datastoreItem>
</file>

<file path=customXml/itemProps2.xml><?xml version="1.0" encoding="utf-8"?>
<ds:datastoreItem xmlns:ds="http://schemas.openxmlformats.org/officeDocument/2006/customXml" ds:itemID="{A09426A3-87E9-4865-8A6C-3456B026AE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45281-08F3-4104-84BD-39F3D8CFB195}">
  <ds:schemaRefs>
    <ds:schemaRef ds:uri="http://schemas.microsoft.com/sharepoint/v3/contenttype/forms"/>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TM16400962</Template>
  <Application>Microsoft Excel</Application>
  <DocSecurity>0</DocSecurity>
  <ScaleCrop>false</ScaleCrop>
  <HeadingPairs>
    <vt:vector size="4" baseType="variant">
      <vt:variant>
        <vt:lpstr>Worksheets</vt:lpstr>
      </vt:variant>
      <vt:variant>
        <vt:i4>1</vt:i4>
      </vt:variant>
      <vt:variant>
        <vt:lpstr>Named Ranges</vt:lpstr>
      </vt:variant>
      <vt:variant>
        <vt:i4>6</vt:i4>
      </vt:variant>
    </vt:vector>
  </HeadingPairs>
  <TitlesOfParts>
    <vt:vector size="7" baseType="lpstr">
      <vt:lpstr>Project schedule</vt:lpstr>
      <vt:lpstr>Display_Week</vt:lpstr>
      <vt:lpstr>'Project schedule'!Print_Titles</vt:lpstr>
      <vt:lpstr>Project_Start</vt:lpstr>
      <vt:lpstr>'Project schedule'!task_end</vt:lpstr>
      <vt:lpstr>'Project schedule'!task_progress</vt:lpstr>
      <vt:lpstr>'Project schedule'!task_start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Elizabeth Wiggins</dc:creator>
  <dc:description/>
  <cp:lastModifiedBy>Elizabeth Wiggins</cp:lastModifiedBy>
  <dcterms:created xsi:type="dcterms:W3CDTF">2022-03-11T22:41:12Z</dcterms:created>
  <dcterms:modified xsi:type="dcterms:W3CDTF">2026-03-06T17:32:41Z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y fmtid="{D5CDD505-2E9C-101B-9397-08002B2CF9AE}" pid="3" name="MediaServiceImageTags">
    <vt:lpwstr/>
  </property>
</Properties>
</file>