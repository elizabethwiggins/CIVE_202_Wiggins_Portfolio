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uofnebraska-my.sharepoint.com/personal/24421746_nebraska_edu/Documents/UNL/CIVE202/Project 3/"/>
    </mc:Choice>
  </mc:AlternateContent>
  <xr:revisionPtr revIDLastSave="0" documentId="8_{A7016893-57BA-4ED0-AB85-F8092AF7B4B5}" xr6:coauthVersionLast="47" xr6:coauthVersionMax="47" xr10:uidLastSave="{00000000-0000-0000-0000-000000000000}"/>
  <bookViews>
    <workbookView xWindow="-108" yWindow="-108" windowWidth="23256" windowHeight="13896"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11" l="1"/>
  <c r="F20" i="11"/>
  <c r="F19" i="11"/>
  <c r="F21" i="11"/>
  <c r="E21" i="11"/>
  <c r="E16" i="11"/>
  <c r="F16" i="11" s="1"/>
  <c r="H7" i="11"/>
  <c r="E9" i="11" l="1"/>
  <c r="F9" i="11" s="1"/>
  <c r="E19" i="11" l="1"/>
  <c r="E22" i="11" s="1"/>
  <c r="E24" i="11" s="1"/>
  <c r="E10" i="11"/>
  <c r="F10" i="11" s="1"/>
  <c r="I5" i="11"/>
  <c r="H26" i="11"/>
  <c r="H25" i="11"/>
  <c r="H23" i="11"/>
  <c r="H18" i="11"/>
  <c r="H12" i="11"/>
  <c r="H8" i="11"/>
  <c r="E11" i="11" l="1"/>
  <c r="F11" i="11" s="1"/>
  <c r="H19" i="11"/>
  <c r="H9" i="11"/>
  <c r="I6" i="11"/>
  <c r="E17" i="11" l="1"/>
  <c r="F17" i="11" s="1"/>
  <c r="E15" i="11"/>
  <c r="F15" i="11" s="1"/>
  <c r="E14" i="11"/>
  <c r="F14" i="11" s="1"/>
  <c r="E13" i="11"/>
  <c r="H24" i="11"/>
  <c r="H10" i="11"/>
  <c r="H22" i="11"/>
  <c r="J5" i="11"/>
  <c r="K5" i="11" s="1"/>
  <c r="L5" i="11" s="1"/>
  <c r="M5" i="11" s="1"/>
  <c r="N5" i="11" s="1"/>
  <c r="O5" i="11" s="1"/>
  <c r="P5" i="11" s="1"/>
  <c r="I4" i="11"/>
  <c r="F13" i="11" l="1"/>
  <c r="H13" i="11" s="1"/>
  <c r="E20" i="11"/>
  <c r="H14" i="11"/>
  <c r="H11" i="11"/>
  <c r="P4" i="11"/>
  <c r="Q5" i="11"/>
  <c r="R5" i="11" s="1"/>
  <c r="S5" i="11" s="1"/>
  <c r="T5" i="11" s="1"/>
  <c r="U5" i="11" s="1"/>
  <c r="V5" i="11" s="1"/>
  <c r="W5" i="11" s="1"/>
  <c r="J6" i="11"/>
  <c r="H20" i="11" l="1"/>
  <c r="H17" i="11"/>
  <c r="H15"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<sst xmlns="http://schemas.openxmlformats.org/spreadsheetml/2006/main" count="31" uniqueCount="31">
  <si>
    <t>Insert new rows ABOVE this one</t>
  </si>
  <si>
    <t>PROGRESS</t>
  </si>
  <si>
    <t>START</t>
  </si>
  <si>
    <t>END</t>
  </si>
  <si>
    <t>TASK</t>
  </si>
  <si>
    <t>SIMPLE GANTT CHART by Vertex42.com</t>
  </si>
  <si>
    <t>https://www.vertex42.com/ExcelTemplates/simple-gantt-chart.html</t>
  </si>
  <si>
    <t xml:space="preserve">Do not delete this row. This row is hidden to preserve a formula that is used to highlight the current day within the project schedule. </t>
  </si>
  <si>
    <t>Project lead</t>
  </si>
  <si>
    <t>Project start:</t>
  </si>
  <si>
    <t>Display week:</t>
  </si>
  <si>
    <t>Data cleaning and processing</t>
  </si>
  <si>
    <t>Elizabeth Wiggins</t>
  </si>
  <si>
    <t>Writing code</t>
  </si>
  <si>
    <t>Writing documentation</t>
  </si>
  <si>
    <t>Scope of work</t>
  </si>
  <si>
    <t>Technical report</t>
  </si>
  <si>
    <t>Annotated code document</t>
  </si>
  <si>
    <t>Final project integration and submission</t>
  </si>
  <si>
    <t>Finalize &amp; submit deliverables</t>
  </si>
  <si>
    <t>Project end:</t>
  </si>
  <si>
    <t>CIVE 202 Project #3</t>
  </si>
  <si>
    <t>Plot Boxplot Showing Distribution</t>
  </si>
  <si>
    <t>Plot Histogram Showing Distribution</t>
  </si>
  <si>
    <t>Plot Bar Chart Comparing Categories</t>
  </si>
  <si>
    <t>Clean &amp; Simplify CSV Data to Prepare for Graphing</t>
  </si>
  <si>
    <t>Timesheet</t>
  </si>
  <si>
    <t>Simulation Study Using Intelligent Driver Model</t>
  </si>
  <si>
    <t>Import CSV Data to Python</t>
  </si>
  <si>
    <t>Assign Variables to Cleaned Data</t>
  </si>
  <si>
    <t>Plot 2 Time-Series Plots Analyzing Driver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</si>
</sst>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7"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theme="1"/>
      <name val="Aptos Narrow"/>
      <family val="2"/>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12" borderId="20"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164"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164"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164"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164"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4" fontId="15"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0" fontId="15" fillId="10" borderId="9" xfId="11" applyFont="1" applyFill="1" applyBorder="1" applyAlignment="1">
      <alignment vertical="center"/>
    </xf>
    <xf numFmtId="9" fontId="1" fillId="10" borderId="9" xfId="2" applyFont="1" applyFill="1" applyBorder="1" applyAlignment="1">
      <alignment horizontal="center" vertical="center"/>
    </xf>
    <xf numFmtId="164"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4"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26" fillId="0" borderId="4" xfId="0" applyFont="1" applyBorder="1" applyAlignment="1">
      <alignment vertical="center"/>
    </xf>
    <xf numFmtId="0" fontId="4" fillId="13" borderId="4" xfId="0" applyFont="1" applyFill="1" applyBorder="1" applyAlignment="1">
      <alignment vertical="center"/>
    </xf>
    <xf numFmtId="0" fontId="22" fillId="0" borderId="0" xfId="8" applyFont="1" applyAlignment="1">
      <alignment horizontal="left"/>
    </xf>
    <xf numFmtId="0" fontId="4" fillId="0" borderId="0" xfId="0" applyFont="1"/>
    <xf numFmtId="165" fontId="23" fillId="0" borderId="0" xfId="9" applyFont="1" applyBorder="1" applyAlignment="1">
      <alignment horizontal="left"/>
    </xf>
    <xf numFmtId="0" fontId="24" fillId="0" borderId="0" xfId="0" applyFont="1"/>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166" fontId="15" fillId="2" borderId="18" xfId="0" applyNumberFormat="1" applyFont="1" applyFill="1" applyBorder="1" applyAlignment="1">
      <alignment horizontal="center" vertical="center" wrapText="1"/>
    </xf>
    <xf numFmtId="0" fontId="16" fillId="11" borderId="16" xfId="0" applyFont="1" applyFill="1" applyBorder="1" applyAlignment="1">
      <alignment horizontal="center" vertical="center"/>
    </xf>
    <xf numFmtId="0" fontId="4" fillId="2" borderId="21" xfId="0" applyFont="1" applyFill="1" applyBorder="1"/>
    <xf numFmtId="0" fontId="23" fillId="0" borderId="0" xfId="0" applyFont="1" applyAlignment="1">
      <alignment horizontal="left"/>
    </xf>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9">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8"/>
      <tableStyleElement type="headerRow" dxfId="37"/>
      <tableStyleElement type="totalRow" dxfId="36"/>
      <tableStyleElement type="firstColumn" dxfId="35"/>
      <tableStyleElement type="lastColumn" dxfId="34"/>
      <tableStyleElement type="firstRowStripe" dxfId="33"/>
      <tableStyleElement type="secondRowStripe" dxfId="32"/>
      <tableStyleElement type="firstColumnStripe" dxfId="31"/>
      <tableStyleElement type="secondColumnStripe" dxfId="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21</xdr:col>
      <xdr:colOff>134471</xdr:colOff>
      <xdr:row>10</xdr:row>
      <xdr:rowOff>302559</xdr:rowOff>
    </xdr:from>
    <xdr:to>
      <xdr:col>21</xdr:col>
      <xdr:colOff>134471</xdr:colOff>
      <xdr:row>12</xdr:row>
      <xdr:rowOff>145676</xdr:rowOff>
    </xdr:to>
    <xdr:cxnSp macro="">
      <xdr:nvCxnSpPr>
        <xdr:cNvPr id="3" name="Straight Arrow Connector 2">
          <a:extLst>
            <a:ext uri="{FF2B5EF4-FFF2-40B4-BE49-F238E27FC236}">
              <a16:creationId xmlns:a16="http://schemas.microsoft.com/office/drawing/2014/main" id="{4FB8CBB0-9E82-06EE-D1DF-BD726DC22B9D}"/>
            </a:ext>
          </a:extLst>
        </xdr:cNvPr>
        <xdr:cNvCxnSpPr/>
      </xdr:nvCxnSpPr>
      <xdr:spPr>
        <a:xfrm>
          <a:off x="13368618" y="4112559"/>
          <a:ext cx="0" cy="60511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zoomScale="68" zoomScaleNormal="100" zoomScalePageLayoutView="70" workbookViewId="0">
      <selection activeCell="E24" sqref="E24"/>
    </sheetView>
  </sheetViews>
  <sheetFormatPr defaultColWidth="8.69921875" defaultRowHeight="30" customHeight="1" x14ac:dyDescent="0.25"/>
  <cols>
    <col min="1" max="1" width="2.69921875" style="7" customWidth="1"/>
    <col min="2" max="2" width="77.59765625" bestFit="1" customWidth="1"/>
    <col min="3" max="3" width="21.796875" bestFit="1" customWidth="1"/>
    <col min="4" max="4" width="13.09765625" bestFit="1"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8"/>
      <c r="B1" s="92" t="s">
        <v>21</v>
      </c>
      <c r="C1" s="12"/>
      <c r="D1" s="13"/>
      <c r="E1" s="14"/>
      <c r="F1" s="15"/>
      <c r="H1" s="1"/>
      <c r="I1" s="95" t="s">
        <v>9</v>
      </c>
      <c r="J1" s="96"/>
      <c r="K1" s="96"/>
      <c r="L1" s="96"/>
      <c r="M1" s="96"/>
      <c r="N1" s="96"/>
      <c r="O1" s="96"/>
      <c r="P1" s="18"/>
      <c r="Q1" s="97">
        <v>46080</v>
      </c>
      <c r="R1" s="98"/>
      <c r="S1" s="98"/>
      <c r="T1" s="98"/>
      <c r="U1" s="98"/>
      <c r="V1" s="98"/>
      <c r="W1" s="98"/>
      <c r="X1" s="98"/>
      <c r="Y1" s="98"/>
      <c r="Z1" s="98"/>
      <c r="AC1" s="95" t="s">
        <v>20</v>
      </c>
      <c r="AD1" s="96"/>
      <c r="AE1" s="96"/>
      <c r="AF1" s="96"/>
      <c r="AG1" s="96"/>
      <c r="AH1" s="96"/>
      <c r="AI1" s="96"/>
      <c r="AK1" s="97">
        <v>46112</v>
      </c>
      <c r="AL1" s="98"/>
      <c r="AM1" s="98"/>
      <c r="AN1" s="98"/>
      <c r="AO1" s="98"/>
      <c r="AP1" s="98"/>
      <c r="AQ1" s="98"/>
      <c r="AR1" s="98"/>
      <c r="AS1" s="98"/>
      <c r="AT1" s="98"/>
    </row>
    <row r="2" spans="1:64" ht="30" customHeight="1" x14ac:dyDescent="0.6">
      <c r="B2" s="90"/>
      <c r="C2" s="91" t="s">
        <v>8</v>
      </c>
      <c r="D2" s="91" t="s">
        <v>12</v>
      </c>
      <c r="E2" s="17"/>
      <c r="F2" s="16"/>
      <c r="I2" s="95" t="s">
        <v>10</v>
      </c>
      <c r="J2" s="96"/>
      <c r="K2" s="96"/>
      <c r="L2" s="96"/>
      <c r="M2" s="96"/>
      <c r="N2" s="96"/>
      <c r="O2" s="96"/>
      <c r="P2" s="18"/>
      <c r="Q2" s="104">
        <v>1</v>
      </c>
      <c r="R2" s="98"/>
      <c r="S2" s="98"/>
      <c r="T2" s="98"/>
      <c r="U2" s="98"/>
      <c r="V2" s="98"/>
      <c r="W2" s="98"/>
      <c r="X2" s="98"/>
      <c r="Y2" s="98"/>
      <c r="Z2" s="98"/>
    </row>
    <row r="3" spans="1:64" s="20" customFormat="1" ht="30" customHeight="1" x14ac:dyDescent="0.25">
      <c r="A3" s="7"/>
      <c r="B3" s="19" t="s">
        <v>5</v>
      </c>
      <c r="D3" s="21"/>
      <c r="E3" s="22"/>
    </row>
    <row r="4" spans="1:64" s="20" customFormat="1" ht="30" customHeight="1" x14ac:dyDescent="0.25">
      <c r="A4" s="8"/>
      <c r="B4" s="23" t="s">
        <v>6</v>
      </c>
      <c r="E4" s="24"/>
      <c r="I4" s="101">
        <f>I5</f>
        <v>46076</v>
      </c>
      <c r="J4" s="99"/>
      <c r="K4" s="99"/>
      <c r="L4" s="99"/>
      <c r="M4" s="99"/>
      <c r="N4" s="99"/>
      <c r="O4" s="99"/>
      <c r="P4" s="99">
        <f>P5</f>
        <v>46083</v>
      </c>
      <c r="Q4" s="99"/>
      <c r="R4" s="99"/>
      <c r="S4" s="99"/>
      <c r="T4" s="99"/>
      <c r="U4" s="99"/>
      <c r="V4" s="99"/>
      <c r="W4" s="99">
        <f>W5</f>
        <v>46090</v>
      </c>
      <c r="X4" s="99"/>
      <c r="Y4" s="99"/>
      <c r="Z4" s="99"/>
      <c r="AA4" s="99"/>
      <c r="AB4" s="99"/>
      <c r="AC4" s="99"/>
      <c r="AD4" s="99">
        <f>AD5</f>
        <v>46097</v>
      </c>
      <c r="AE4" s="99"/>
      <c r="AF4" s="99"/>
      <c r="AG4" s="99"/>
      <c r="AH4" s="99"/>
      <c r="AI4" s="99"/>
      <c r="AJ4" s="99"/>
      <c r="AK4" s="99">
        <f>AK5</f>
        <v>46104</v>
      </c>
      <c r="AL4" s="99"/>
      <c r="AM4" s="99"/>
      <c r="AN4" s="99"/>
      <c r="AO4" s="99"/>
      <c r="AP4" s="99"/>
      <c r="AQ4" s="99"/>
      <c r="AR4" s="99">
        <f>AR5</f>
        <v>46111</v>
      </c>
      <c r="AS4" s="99"/>
      <c r="AT4" s="99"/>
      <c r="AU4" s="99"/>
      <c r="AV4" s="99"/>
      <c r="AW4" s="99"/>
      <c r="AX4" s="99"/>
      <c r="AY4" s="99">
        <f>AY5</f>
        <v>46118</v>
      </c>
      <c r="AZ4" s="99"/>
      <c r="BA4" s="99"/>
      <c r="BB4" s="99"/>
      <c r="BC4" s="99"/>
      <c r="BD4" s="99"/>
      <c r="BE4" s="99"/>
      <c r="BF4" s="99">
        <f>BF5</f>
        <v>46125</v>
      </c>
      <c r="BG4" s="99"/>
      <c r="BH4" s="99"/>
      <c r="BI4" s="99"/>
      <c r="BJ4" s="99"/>
      <c r="BK4" s="99"/>
      <c r="BL4" s="100"/>
    </row>
    <row r="5" spans="1:64" s="20" customFormat="1" ht="15" customHeight="1" x14ac:dyDescent="0.25">
      <c r="A5" s="105"/>
      <c r="B5" s="106" t="s">
        <v>4</v>
      </c>
      <c r="C5" s="108"/>
      <c r="D5" s="102" t="s">
        <v>1</v>
      </c>
      <c r="E5" s="102" t="s">
        <v>2</v>
      </c>
      <c r="F5" s="102" t="s">
        <v>3</v>
      </c>
      <c r="I5" s="25">
        <f>Project_Start-WEEKDAY(Project_Start,1)+2+7*(Display_Week-1)</f>
        <v>46076</v>
      </c>
      <c r="J5" s="25">
        <f>I5+1</f>
        <v>46077</v>
      </c>
      <c r="K5" s="25">
        <f t="shared" ref="K5:AX5" si="0">J5+1</f>
        <v>46078</v>
      </c>
      <c r="L5" s="25">
        <f t="shared" si="0"/>
        <v>46079</v>
      </c>
      <c r="M5" s="25">
        <f t="shared" si="0"/>
        <v>46080</v>
      </c>
      <c r="N5" s="25">
        <f t="shared" si="0"/>
        <v>46081</v>
      </c>
      <c r="O5" s="26">
        <f t="shared" si="0"/>
        <v>46082</v>
      </c>
      <c r="P5" s="27">
        <f>O5+1</f>
        <v>46083</v>
      </c>
      <c r="Q5" s="25">
        <f>P5+1</f>
        <v>46084</v>
      </c>
      <c r="R5" s="25">
        <f t="shared" si="0"/>
        <v>46085</v>
      </c>
      <c r="S5" s="25">
        <f t="shared" si="0"/>
        <v>46086</v>
      </c>
      <c r="T5" s="25">
        <f t="shared" si="0"/>
        <v>46087</v>
      </c>
      <c r="U5" s="25">
        <f t="shared" si="0"/>
        <v>46088</v>
      </c>
      <c r="V5" s="26">
        <f t="shared" si="0"/>
        <v>46089</v>
      </c>
      <c r="W5" s="27">
        <f>V5+1</f>
        <v>46090</v>
      </c>
      <c r="X5" s="25">
        <f>W5+1</f>
        <v>46091</v>
      </c>
      <c r="Y5" s="25">
        <f t="shared" si="0"/>
        <v>46092</v>
      </c>
      <c r="Z5" s="25">
        <f t="shared" si="0"/>
        <v>46093</v>
      </c>
      <c r="AA5" s="25">
        <f t="shared" si="0"/>
        <v>46094</v>
      </c>
      <c r="AB5" s="25">
        <f t="shared" si="0"/>
        <v>46095</v>
      </c>
      <c r="AC5" s="26">
        <f t="shared" si="0"/>
        <v>46096</v>
      </c>
      <c r="AD5" s="27">
        <f>AC5+1</f>
        <v>46097</v>
      </c>
      <c r="AE5" s="25">
        <f>AD5+1</f>
        <v>46098</v>
      </c>
      <c r="AF5" s="25">
        <f t="shared" si="0"/>
        <v>46099</v>
      </c>
      <c r="AG5" s="25">
        <f t="shared" si="0"/>
        <v>46100</v>
      </c>
      <c r="AH5" s="25">
        <f t="shared" si="0"/>
        <v>46101</v>
      </c>
      <c r="AI5" s="25">
        <f t="shared" si="0"/>
        <v>46102</v>
      </c>
      <c r="AJ5" s="26">
        <f t="shared" si="0"/>
        <v>46103</v>
      </c>
      <c r="AK5" s="27">
        <f>AJ5+1</f>
        <v>46104</v>
      </c>
      <c r="AL5" s="25">
        <f>AK5+1</f>
        <v>46105</v>
      </c>
      <c r="AM5" s="25">
        <f t="shared" si="0"/>
        <v>46106</v>
      </c>
      <c r="AN5" s="25">
        <f t="shared" si="0"/>
        <v>46107</v>
      </c>
      <c r="AO5" s="25">
        <f t="shared" si="0"/>
        <v>46108</v>
      </c>
      <c r="AP5" s="25">
        <f t="shared" si="0"/>
        <v>46109</v>
      </c>
      <c r="AQ5" s="26">
        <f t="shared" si="0"/>
        <v>46110</v>
      </c>
      <c r="AR5" s="27">
        <f>AQ5+1</f>
        <v>46111</v>
      </c>
      <c r="AS5" s="25">
        <f>AR5+1</f>
        <v>46112</v>
      </c>
      <c r="AT5" s="25">
        <f t="shared" si="0"/>
        <v>46113</v>
      </c>
      <c r="AU5" s="25">
        <f t="shared" si="0"/>
        <v>46114</v>
      </c>
      <c r="AV5" s="25">
        <f t="shared" si="0"/>
        <v>46115</v>
      </c>
      <c r="AW5" s="25">
        <f t="shared" si="0"/>
        <v>46116</v>
      </c>
      <c r="AX5" s="26">
        <f t="shared" si="0"/>
        <v>46117</v>
      </c>
      <c r="AY5" s="27">
        <f>AX5+1</f>
        <v>46118</v>
      </c>
      <c r="AZ5" s="25">
        <f>AY5+1</f>
        <v>46119</v>
      </c>
      <c r="BA5" s="25">
        <f t="shared" ref="BA5:BE5" si="1">AZ5+1</f>
        <v>46120</v>
      </c>
      <c r="BB5" s="25">
        <f t="shared" si="1"/>
        <v>46121</v>
      </c>
      <c r="BC5" s="25">
        <f t="shared" si="1"/>
        <v>46122</v>
      </c>
      <c r="BD5" s="25">
        <f t="shared" si="1"/>
        <v>46123</v>
      </c>
      <c r="BE5" s="26">
        <f t="shared" si="1"/>
        <v>46124</v>
      </c>
      <c r="BF5" s="27">
        <f>BE5+1</f>
        <v>46125</v>
      </c>
      <c r="BG5" s="25">
        <f>BF5+1</f>
        <v>46126</v>
      </c>
      <c r="BH5" s="25">
        <f t="shared" ref="BH5:BL5" si="2">BG5+1</f>
        <v>46127</v>
      </c>
      <c r="BI5" s="25">
        <f t="shared" si="2"/>
        <v>46128</v>
      </c>
      <c r="BJ5" s="25">
        <f t="shared" si="2"/>
        <v>46129</v>
      </c>
      <c r="BK5" s="25">
        <f t="shared" si="2"/>
        <v>46130</v>
      </c>
      <c r="BL5" s="25">
        <f t="shared" si="2"/>
        <v>46131</v>
      </c>
    </row>
    <row r="6" spans="1:64" s="20" customFormat="1" ht="15" customHeight="1" thickBot="1" x14ac:dyDescent="0.3">
      <c r="A6" s="105"/>
      <c r="B6" s="107"/>
      <c r="C6" s="103"/>
      <c r="D6" s="103"/>
      <c r="E6" s="103"/>
      <c r="F6" s="103"/>
      <c r="I6" s="28" t="str">
        <f t="shared" ref="I6:AN6" si="3">LEFT(TEXT(I5,"ddd"),1)</f>
        <v>M</v>
      </c>
      <c r="J6" s="29" t="str">
        <f t="shared" si="3"/>
        <v>T</v>
      </c>
      <c r="K6" s="29" t="str">
        <f t="shared" si="3"/>
        <v>W</v>
      </c>
      <c r="L6" s="29" t="str">
        <f t="shared" si="3"/>
        <v>T</v>
      </c>
      <c r="M6" s="29" t="str">
        <f t="shared" si="3"/>
        <v>F</v>
      </c>
      <c r="N6" s="29" t="str">
        <f t="shared" si="3"/>
        <v>S</v>
      </c>
      <c r="O6" s="29" t="str">
        <f t="shared" si="3"/>
        <v>S</v>
      </c>
      <c r="P6" s="29" t="str">
        <f t="shared" si="3"/>
        <v>M</v>
      </c>
      <c r="Q6" s="29" t="str">
        <f t="shared" si="3"/>
        <v>T</v>
      </c>
      <c r="R6" s="29" t="str">
        <f t="shared" si="3"/>
        <v>W</v>
      </c>
      <c r="S6" s="29" t="str">
        <f t="shared" si="3"/>
        <v>T</v>
      </c>
      <c r="T6" s="29" t="str">
        <f t="shared" si="3"/>
        <v>F</v>
      </c>
      <c r="U6" s="29" t="str">
        <f t="shared" si="3"/>
        <v>S</v>
      </c>
      <c r="V6" s="29" t="str">
        <f t="shared" si="3"/>
        <v>S</v>
      </c>
      <c r="W6" s="29" t="str">
        <f t="shared" si="3"/>
        <v>M</v>
      </c>
      <c r="X6" s="29" t="str">
        <f t="shared" si="3"/>
        <v>T</v>
      </c>
      <c r="Y6" s="29" t="str">
        <f t="shared" si="3"/>
        <v>W</v>
      </c>
      <c r="Z6" s="29" t="str">
        <f t="shared" si="3"/>
        <v>T</v>
      </c>
      <c r="AA6" s="29" t="str">
        <f t="shared" si="3"/>
        <v>F</v>
      </c>
      <c r="AB6" s="29" t="str">
        <f t="shared" si="3"/>
        <v>S</v>
      </c>
      <c r="AC6" s="29" t="str">
        <f t="shared" si="3"/>
        <v>S</v>
      </c>
      <c r="AD6" s="29" t="str">
        <f t="shared" si="3"/>
        <v>M</v>
      </c>
      <c r="AE6" s="29" t="str">
        <f t="shared" si="3"/>
        <v>T</v>
      </c>
      <c r="AF6" s="29" t="str">
        <f t="shared" si="3"/>
        <v>W</v>
      </c>
      <c r="AG6" s="29" t="str">
        <f t="shared" si="3"/>
        <v>T</v>
      </c>
      <c r="AH6" s="29" t="str">
        <f t="shared" si="3"/>
        <v>F</v>
      </c>
      <c r="AI6" s="29" t="str">
        <f t="shared" si="3"/>
        <v>S</v>
      </c>
      <c r="AJ6" s="29" t="str">
        <f t="shared" si="3"/>
        <v>S</v>
      </c>
      <c r="AK6" s="29" t="str">
        <f t="shared" si="3"/>
        <v>M</v>
      </c>
      <c r="AL6" s="29" t="str">
        <f t="shared" si="3"/>
        <v>T</v>
      </c>
      <c r="AM6" s="29" t="str">
        <f t="shared" si="3"/>
        <v>W</v>
      </c>
      <c r="AN6" s="29" t="str">
        <f t="shared" si="3"/>
        <v>T</v>
      </c>
      <c r="AO6" s="29" t="str">
        <f t="shared" ref="AO6:BL6" si="4">LEFT(TEXT(AO5,"ddd"),1)</f>
        <v>F</v>
      </c>
      <c r="AP6" s="29" t="str">
        <f t="shared" si="4"/>
        <v>S</v>
      </c>
      <c r="AQ6" s="29" t="str">
        <f t="shared" si="4"/>
        <v>S</v>
      </c>
      <c r="AR6" s="29" t="str">
        <f t="shared" si="4"/>
        <v>M</v>
      </c>
      <c r="AS6" s="29" t="str">
        <f t="shared" si="4"/>
        <v>T</v>
      </c>
      <c r="AT6" s="29" t="str">
        <f t="shared" si="4"/>
        <v>W</v>
      </c>
      <c r="AU6" s="29" t="str">
        <f t="shared" si="4"/>
        <v>T</v>
      </c>
      <c r="AV6" s="29" t="str">
        <f t="shared" si="4"/>
        <v>F</v>
      </c>
      <c r="AW6" s="29" t="str">
        <f t="shared" si="4"/>
        <v>S</v>
      </c>
      <c r="AX6" s="29" t="str">
        <f t="shared" si="4"/>
        <v>S</v>
      </c>
      <c r="AY6" s="29" t="str">
        <f t="shared" si="4"/>
        <v>M</v>
      </c>
      <c r="AZ6" s="29" t="str">
        <f t="shared" si="4"/>
        <v>T</v>
      </c>
      <c r="BA6" s="29" t="str">
        <f t="shared" si="4"/>
        <v>W</v>
      </c>
      <c r="BB6" s="29" t="str">
        <f t="shared" si="4"/>
        <v>T</v>
      </c>
      <c r="BC6" s="29" t="str">
        <f t="shared" si="4"/>
        <v>F</v>
      </c>
      <c r="BD6" s="29" t="str">
        <f t="shared" si="4"/>
        <v>S</v>
      </c>
      <c r="BE6" s="29" t="str">
        <f t="shared" si="4"/>
        <v>S</v>
      </c>
      <c r="BF6" s="29" t="str">
        <f t="shared" si="4"/>
        <v>M</v>
      </c>
      <c r="BG6" s="29" t="str">
        <f t="shared" si="4"/>
        <v>T</v>
      </c>
      <c r="BH6" s="29" t="str">
        <f t="shared" si="4"/>
        <v>W</v>
      </c>
      <c r="BI6" s="29" t="str">
        <f t="shared" si="4"/>
        <v>T</v>
      </c>
      <c r="BJ6" s="29" t="str">
        <f t="shared" si="4"/>
        <v>F</v>
      </c>
      <c r="BK6" s="29" t="str">
        <f t="shared" si="4"/>
        <v>S</v>
      </c>
      <c r="BL6" s="30" t="str">
        <f t="shared" si="4"/>
        <v>S</v>
      </c>
    </row>
    <row r="7" spans="1:64" s="20" customFormat="1" ht="30" hidden="1" customHeight="1" thickBot="1" x14ac:dyDescent="0.3">
      <c r="A7" s="7" t="s">
        <v>7</v>
      </c>
      <c r="B7" s="31"/>
      <c r="C7" s="32"/>
      <c r="D7" s="31"/>
      <c r="E7" s="31"/>
      <c r="F7" s="31"/>
      <c r="H7" s="20" t="str">
        <f>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64" s="40" customFormat="1" ht="30" customHeight="1" thickBot="1" x14ac:dyDescent="0.3">
      <c r="A8" s="8"/>
      <c r="B8" s="34" t="s">
        <v>11</v>
      </c>
      <c r="C8" s="35"/>
      <c r="D8" s="36"/>
      <c r="E8" s="37"/>
      <c r="F8" s="38"/>
      <c r="G8" s="11"/>
      <c r="H8" s="5" t="str">
        <f t="shared" ref="H8:H26" si="5">IF(OR(ISBLANK(task_start),ISBLANK(task_end)),"",task_end-task_start+1)</f>
        <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row>
    <row r="9" spans="1:64" s="40" customFormat="1" ht="30" customHeight="1" thickBot="1" x14ac:dyDescent="0.3">
      <c r="A9" s="8"/>
      <c r="B9" s="41" t="s">
        <v>28</v>
      </c>
      <c r="C9" s="42"/>
      <c r="D9" s="43">
        <v>0</v>
      </c>
      <c r="E9" s="44">
        <f>Project_Start</f>
        <v>46080</v>
      </c>
      <c r="F9" s="44">
        <f>E9+7</f>
        <v>46087</v>
      </c>
      <c r="G9" s="11"/>
      <c r="H9" s="5">
        <f t="shared" si="5"/>
        <v>8</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0" customFormat="1" ht="30" customHeight="1" thickBot="1" x14ac:dyDescent="0.3">
      <c r="A10" s="8"/>
      <c r="B10" s="46" t="s">
        <v>25</v>
      </c>
      <c r="C10" s="47"/>
      <c r="D10" s="48">
        <v>0</v>
      </c>
      <c r="E10" s="49">
        <f>F9</f>
        <v>46087</v>
      </c>
      <c r="F10" s="49">
        <f>E10+1</f>
        <v>46088</v>
      </c>
      <c r="G10" s="11"/>
      <c r="H10" s="5">
        <f t="shared" si="5"/>
        <v>2</v>
      </c>
      <c r="I10" s="45"/>
      <c r="J10" s="45"/>
      <c r="K10" s="45"/>
      <c r="L10" s="45"/>
      <c r="M10" s="45"/>
      <c r="N10" s="45"/>
      <c r="O10" s="45"/>
      <c r="P10" s="45"/>
      <c r="Q10" s="45"/>
      <c r="R10" s="45"/>
      <c r="S10" s="45"/>
      <c r="T10" s="45"/>
      <c r="U10" s="50"/>
      <c r="V10" s="50"/>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0" customFormat="1" ht="30" customHeight="1" thickBot="1" x14ac:dyDescent="0.3">
      <c r="A11" s="7"/>
      <c r="B11" s="46" t="s">
        <v>29</v>
      </c>
      <c r="C11" s="47"/>
      <c r="D11" s="48">
        <v>0</v>
      </c>
      <c r="E11" s="49">
        <f>E10+1</f>
        <v>46088</v>
      </c>
      <c r="F11" s="49">
        <f>E11+1</f>
        <v>46089</v>
      </c>
      <c r="G11" s="11"/>
      <c r="H11" s="5">
        <f t="shared" si="5"/>
        <v>2</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row>
    <row r="12" spans="1:64" s="40" customFormat="1" ht="30" customHeight="1" thickBot="1" x14ac:dyDescent="0.3">
      <c r="A12" s="8"/>
      <c r="B12" s="51" t="s">
        <v>13</v>
      </c>
      <c r="C12" s="52"/>
      <c r="D12" s="53"/>
      <c r="E12" s="54"/>
      <c r="F12" s="55"/>
      <c r="G12" s="11"/>
      <c r="H12" s="5" t="str">
        <f t="shared" si="5"/>
        <v/>
      </c>
    </row>
    <row r="13" spans="1:64" s="40" customFormat="1" ht="30" customHeight="1" thickBot="1" x14ac:dyDescent="0.3">
      <c r="A13" s="8"/>
      <c r="B13" s="56" t="s">
        <v>24</v>
      </c>
      <c r="C13" s="57"/>
      <c r="D13" s="58">
        <v>0</v>
      </c>
      <c r="E13" s="59">
        <f>F11</f>
        <v>46089</v>
      </c>
      <c r="F13" s="59">
        <f>E13+7</f>
        <v>46096</v>
      </c>
      <c r="G13" s="11"/>
      <c r="H13" s="5">
        <f t="shared" si="5"/>
        <v>8</v>
      </c>
      <c r="I13" s="45"/>
      <c r="J13" s="45"/>
      <c r="K13" s="45"/>
      <c r="L13" s="93"/>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0" customFormat="1" ht="30" customHeight="1" thickBot="1" x14ac:dyDescent="0.3">
      <c r="A14" s="7"/>
      <c r="B14" s="56" t="s">
        <v>23</v>
      </c>
      <c r="C14" s="57"/>
      <c r="D14" s="58">
        <v>0</v>
      </c>
      <c r="E14" s="59">
        <f>F11</f>
        <v>46089</v>
      </c>
      <c r="F14" s="59">
        <f t="shared" ref="F14:F16" si="6">E14+7</f>
        <v>46096</v>
      </c>
      <c r="G14" s="11"/>
      <c r="H14" s="5">
        <f t="shared" si="5"/>
        <v>8</v>
      </c>
      <c r="I14" s="45"/>
      <c r="J14" s="45"/>
      <c r="K14" s="45"/>
      <c r="L14" s="45"/>
      <c r="M14" s="45"/>
      <c r="N14" s="45"/>
      <c r="O14" s="45"/>
      <c r="P14" s="45"/>
      <c r="Q14" s="45"/>
      <c r="R14" s="45"/>
      <c r="S14" s="45"/>
      <c r="T14" s="45"/>
      <c r="U14" s="50"/>
      <c r="V14" s="50"/>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row>
    <row r="15" spans="1:64" s="40" customFormat="1" ht="30" customHeight="1" thickBot="1" x14ac:dyDescent="0.3">
      <c r="A15" s="7"/>
      <c r="B15" s="56" t="s">
        <v>22</v>
      </c>
      <c r="C15" s="57"/>
      <c r="D15" s="58">
        <v>0</v>
      </c>
      <c r="E15" s="59">
        <f>F11</f>
        <v>46089</v>
      </c>
      <c r="F15" s="59">
        <f t="shared" si="6"/>
        <v>46096</v>
      </c>
      <c r="G15" s="11"/>
      <c r="H15" s="5">
        <f t="shared" si="5"/>
        <v>8</v>
      </c>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row>
    <row r="16" spans="1:64" s="40" customFormat="1" ht="30" customHeight="1" thickBot="1" x14ac:dyDescent="0.3">
      <c r="A16" s="7"/>
      <c r="B16" s="56" t="s">
        <v>30</v>
      </c>
      <c r="C16" s="57"/>
      <c r="D16" s="58">
        <v>0</v>
      </c>
      <c r="E16" s="59">
        <f>F11</f>
        <v>46089</v>
      </c>
      <c r="F16" s="59">
        <f t="shared" si="6"/>
        <v>46096</v>
      </c>
      <c r="G16" s="11"/>
      <c r="H16" s="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64" s="40" customFormat="1" ht="30" customHeight="1" thickBot="1" x14ac:dyDescent="0.3">
      <c r="A17" s="7"/>
      <c r="B17" s="56" t="s">
        <v>27</v>
      </c>
      <c r="C17" s="57"/>
      <c r="D17" s="58">
        <v>0</v>
      </c>
      <c r="E17" s="59">
        <f>F11</f>
        <v>46089</v>
      </c>
      <c r="F17" s="59">
        <f>E17+10</f>
        <v>46099</v>
      </c>
      <c r="G17" s="11"/>
      <c r="H17" s="5">
        <f t="shared" si="5"/>
        <v>11</v>
      </c>
      <c r="I17" s="45"/>
      <c r="J17" s="45"/>
      <c r="K17" s="45"/>
      <c r="L17" s="45"/>
      <c r="M17" s="45"/>
      <c r="N17" s="45"/>
      <c r="O17" s="45"/>
      <c r="P17" s="45"/>
      <c r="Q17" s="45"/>
      <c r="R17" s="45"/>
      <c r="S17" s="45"/>
      <c r="T17" s="45"/>
      <c r="U17" s="45"/>
      <c r="V17" s="45"/>
      <c r="W17" s="45"/>
      <c r="X17" s="45"/>
      <c r="Y17" s="50"/>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row>
    <row r="18" spans="1:64" s="40" customFormat="1" ht="30" customHeight="1" thickBot="1" x14ac:dyDescent="0.3">
      <c r="A18" s="7"/>
      <c r="B18" s="60" t="s">
        <v>14</v>
      </c>
      <c r="C18" s="61"/>
      <c r="D18" s="62"/>
      <c r="E18" s="63"/>
      <c r="F18" s="64"/>
      <c r="G18" s="11"/>
      <c r="H18" s="5" t="str">
        <f t="shared" si="5"/>
        <v/>
      </c>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row>
    <row r="19" spans="1:64" s="40" customFormat="1" ht="30" customHeight="1" thickBot="1" x14ac:dyDescent="0.3">
      <c r="A19" s="7"/>
      <c r="B19" s="66" t="s">
        <v>15</v>
      </c>
      <c r="C19" s="67"/>
      <c r="D19" s="68">
        <v>0</v>
      </c>
      <c r="E19" s="69">
        <f>E9</f>
        <v>46080</v>
      </c>
      <c r="F19" s="69">
        <f>E19+7</f>
        <v>46087</v>
      </c>
      <c r="G19" s="11"/>
      <c r="H19" s="5">
        <f t="shared" si="5"/>
        <v>8</v>
      </c>
      <c r="I19" s="45"/>
      <c r="J19" s="45"/>
      <c r="K19" s="45"/>
      <c r="L19" s="45"/>
      <c r="M19" s="45"/>
      <c r="N19" s="45"/>
      <c r="O19" s="45"/>
      <c r="P19" s="45"/>
      <c r="Q19" s="45"/>
      <c r="R19" s="45"/>
      <c r="S19" s="45"/>
      <c r="T19" s="45"/>
      <c r="U19" s="45"/>
      <c r="V19" s="45"/>
      <c r="W19" s="45"/>
      <c r="X19" s="45"/>
      <c r="Y19" s="45"/>
      <c r="Z19" s="45"/>
      <c r="AA19" s="45"/>
      <c r="AB19" s="94"/>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row>
    <row r="20" spans="1:64" s="40" customFormat="1" ht="30" customHeight="1" thickBot="1" x14ac:dyDescent="0.3">
      <c r="A20" s="7"/>
      <c r="B20" s="66" t="s">
        <v>17</v>
      </c>
      <c r="C20" s="67"/>
      <c r="D20" s="68">
        <v>0</v>
      </c>
      <c r="E20" s="69">
        <f>E13+1</f>
        <v>46090</v>
      </c>
      <c r="F20" s="69">
        <f>F17+3</f>
        <v>46102</v>
      </c>
      <c r="G20" s="11"/>
      <c r="H20" s="5">
        <f t="shared" si="5"/>
        <v>13</v>
      </c>
      <c r="I20" s="45"/>
      <c r="J20" s="45"/>
      <c r="K20" s="45"/>
      <c r="L20" s="45"/>
      <c r="M20" s="93"/>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row>
    <row r="21" spans="1:64" s="40" customFormat="1" ht="30" customHeight="1" thickBot="1" x14ac:dyDescent="0.3">
      <c r="A21" s="7"/>
      <c r="B21" s="66" t="s">
        <v>26</v>
      </c>
      <c r="C21" s="67"/>
      <c r="D21" s="68">
        <v>0</v>
      </c>
      <c r="E21" s="69">
        <f>E9</f>
        <v>46080</v>
      </c>
      <c r="F21" s="69">
        <f>F24</f>
        <v>46112</v>
      </c>
      <c r="G21" s="11"/>
      <c r="H21" s="5"/>
      <c r="I21" s="45"/>
      <c r="J21" s="45"/>
      <c r="K21" s="45"/>
      <c r="L21" s="45"/>
      <c r="M21" s="93"/>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row>
    <row r="22" spans="1:64" s="40" customFormat="1" ht="30" customHeight="1" thickBot="1" x14ac:dyDescent="0.3">
      <c r="A22" s="7"/>
      <c r="B22" s="66" t="s">
        <v>16</v>
      </c>
      <c r="C22" s="67"/>
      <c r="D22" s="68">
        <v>0</v>
      </c>
      <c r="E22" s="69">
        <f>F19</f>
        <v>46087</v>
      </c>
      <c r="F22" s="69">
        <f>F24-1</f>
        <v>46111</v>
      </c>
      <c r="G22" s="11"/>
      <c r="H22" s="5">
        <f t="shared" si="5"/>
        <v>25</v>
      </c>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row>
    <row r="23" spans="1:64" s="40" customFormat="1" ht="30" customHeight="1" thickBot="1" x14ac:dyDescent="0.3">
      <c r="A23" s="7"/>
      <c r="B23" s="70" t="s">
        <v>18</v>
      </c>
      <c r="C23" s="71"/>
      <c r="D23" s="72"/>
      <c r="E23" s="73"/>
      <c r="F23" s="74"/>
      <c r="G23" s="11"/>
      <c r="H23" s="5" t="str">
        <f t="shared" si="5"/>
        <v/>
      </c>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row>
    <row r="24" spans="1:64" s="40" customFormat="1" ht="30" customHeight="1" thickBot="1" x14ac:dyDescent="0.3">
      <c r="A24" s="7"/>
      <c r="B24" s="76" t="s">
        <v>19</v>
      </c>
      <c r="C24" s="77"/>
      <c r="D24" s="78">
        <v>0</v>
      </c>
      <c r="E24" s="79">
        <f>F22</f>
        <v>46111</v>
      </c>
      <c r="F24" s="79">
        <v>46112</v>
      </c>
      <c r="G24" s="11"/>
      <c r="H24" s="5">
        <f t="shared" si="5"/>
        <v>2</v>
      </c>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64" s="40" customFormat="1" ht="30" customHeight="1" thickBot="1" x14ac:dyDescent="0.3">
      <c r="A25" s="7"/>
      <c r="B25" s="80"/>
      <c r="C25" s="81"/>
      <c r="D25" s="82"/>
      <c r="E25" s="83"/>
      <c r="F25" s="83"/>
      <c r="G25" s="11"/>
      <c r="H25" s="5" t="str">
        <f t="shared" si="5"/>
        <v/>
      </c>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row>
    <row r="26" spans="1:64" s="40" customFormat="1" ht="30" customHeight="1" thickBot="1" x14ac:dyDescent="0.3">
      <c r="A26" s="8"/>
      <c r="B26" s="84" t="s">
        <v>0</v>
      </c>
      <c r="C26" s="85"/>
      <c r="D26" s="86"/>
      <c r="E26" s="87"/>
      <c r="F26" s="88"/>
      <c r="G26" s="11"/>
      <c r="H26" s="6" t="str">
        <f t="shared" si="5"/>
        <v/>
      </c>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row>
    <row r="27" spans="1:64" ht="30" customHeight="1" x14ac:dyDescent="0.25">
      <c r="G27" s="3"/>
    </row>
    <row r="28" spans="1:64" ht="30" customHeight="1" x14ac:dyDescent="0.25">
      <c r="C28" s="10"/>
      <c r="F28" s="9"/>
    </row>
    <row r="29" spans="1:64" ht="30" customHeight="1" x14ac:dyDescent="0.25">
      <c r="C29" s="4"/>
    </row>
  </sheetData>
  <mergeCells count="20">
    <mergeCell ref="A5:A6"/>
    <mergeCell ref="B5:B6"/>
    <mergeCell ref="C5:C6"/>
    <mergeCell ref="D5:D6"/>
    <mergeCell ref="E5:E6"/>
    <mergeCell ref="F5:F6"/>
    <mergeCell ref="Q2:Z2"/>
    <mergeCell ref="Q1:Z1"/>
    <mergeCell ref="I1:O1"/>
    <mergeCell ref="I2:O2"/>
    <mergeCell ref="AC1:AI1"/>
    <mergeCell ref="AK1:AT1"/>
    <mergeCell ref="BF4:BL4"/>
    <mergeCell ref="I4:O4"/>
    <mergeCell ref="P4:V4"/>
    <mergeCell ref="W4:AC4"/>
    <mergeCell ref="AD4:AJ4"/>
    <mergeCell ref="AK4:AQ4"/>
    <mergeCell ref="AR4:AX4"/>
    <mergeCell ref="AY4:BE4"/>
  </mergeCells>
  <conditionalFormatting sqref="D7:D26">
    <cfRule type="dataBar" priority="41">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19 AC20:BL21 I22:BL24 I20:Y21">
    <cfRule type="expression" dxfId="29" priority="19">
      <formula>AND(TODAY()&gt;=I$5, TODAY()&lt;J$5)</formula>
    </cfRule>
  </conditionalFormatting>
  <conditionalFormatting sqref="I9:BL11">
    <cfRule type="expression" dxfId="28" priority="24">
      <formula>AND(task_start&lt;=I$5,ROUNDDOWN((task_end-task_start+1)*task_progress,0)+task_start-1&gt;=I$5)</formula>
    </cfRule>
    <cfRule type="expression" dxfId="27" priority="25" stopIfTrue="1">
      <formula>AND(task_end&gt;=I$5,task_start&lt;J$5)</formula>
    </cfRule>
  </conditionalFormatting>
  <conditionalFormatting sqref="I13:BL17">
    <cfRule type="expression" dxfId="26" priority="22">
      <formula>AND(task_start&lt;=I$5,ROUNDDOWN((task_end-task_start+1)*task_progress,0)+task_start-1&gt;=I$5)</formula>
    </cfRule>
    <cfRule type="expression" dxfId="25" priority="23" stopIfTrue="1">
      <formula>AND(task_end&gt;=I$5,task_start&lt;J$5)</formula>
    </cfRule>
  </conditionalFormatting>
  <conditionalFormatting sqref="I19:BL19 AC20:BL21 I22:BL22 I20:Y21">
    <cfRule type="expression" dxfId="24" priority="20">
      <formula>AND(task_start&lt;=I$5,ROUNDDOWN((task_end-task_start+1)*task_progress,0)+task_start-1&gt;=I$5)</formula>
    </cfRule>
    <cfRule type="expression" dxfId="23" priority="21" stopIfTrue="1">
      <formula>AND(task_end&gt;=I$5,task_start&lt;J$5)</formula>
    </cfRule>
  </conditionalFormatting>
  <conditionalFormatting sqref="I24:BL24">
    <cfRule type="expression" dxfId="22" priority="54">
      <formula>AND(task_start&lt;=I$5,ROUNDDOWN((task_end-task_start+1)*task_progress,0)+task_start-1&gt;=I$5)</formula>
    </cfRule>
    <cfRule type="expression" dxfId="21" priority="55" stopIfTrue="1">
      <formula>AND(task_end&gt;=I$5,task_start&lt;J$5)</formula>
    </cfRule>
  </conditionalFormatting>
  <conditionalFormatting sqref="Z21">
    <cfRule type="expression" dxfId="20" priority="16">
      <formula>AND(TODAY()&gt;=Z$5, TODAY()&lt;AA$5)</formula>
    </cfRule>
  </conditionalFormatting>
  <conditionalFormatting sqref="Z21">
    <cfRule type="expression" dxfId="19" priority="17">
      <formula>AND(task_start&lt;=Z$5,ROUNDDOWN((task_end-task_start+1)*task_progress,0)+task_start-1&gt;=Z$5)</formula>
    </cfRule>
    <cfRule type="expression" dxfId="18" priority="18" stopIfTrue="1">
      <formula>AND(task_end&gt;=Z$5,task_start&lt;AA$5)</formula>
    </cfRule>
  </conditionalFormatting>
  <conditionalFormatting sqref="AA21">
    <cfRule type="expression" dxfId="17" priority="13">
      <formula>AND(TODAY()&gt;=AA$5, TODAY()&lt;AB$5)</formula>
    </cfRule>
  </conditionalFormatting>
  <conditionalFormatting sqref="AA21">
    <cfRule type="expression" dxfId="16" priority="14">
      <formula>AND(task_start&lt;=AA$5,ROUNDDOWN((task_end-task_start+1)*task_progress,0)+task_start-1&gt;=AA$5)</formula>
    </cfRule>
    <cfRule type="expression" dxfId="15" priority="15" stopIfTrue="1">
      <formula>AND(task_end&gt;=AA$5,task_start&lt;AB$5)</formula>
    </cfRule>
  </conditionalFormatting>
  <conditionalFormatting sqref="AB21">
    <cfRule type="expression" dxfId="14" priority="10">
      <formula>AND(TODAY()&gt;=AB$5, TODAY()&lt;AC$5)</formula>
    </cfRule>
  </conditionalFormatting>
  <conditionalFormatting sqref="AB21">
    <cfRule type="expression" dxfId="13" priority="11">
      <formula>AND(task_start&lt;=AB$5,ROUNDDOWN((task_end-task_start+1)*task_progress,0)+task_start-1&gt;=AB$5)</formula>
    </cfRule>
    <cfRule type="expression" dxfId="12" priority="12" stopIfTrue="1">
      <formula>AND(task_end&gt;=AB$5,task_start&lt;AC$5)</formula>
    </cfRule>
  </conditionalFormatting>
  <conditionalFormatting sqref="Z20">
    <cfRule type="expression" dxfId="8" priority="7">
      <formula>AND(TODAY()&gt;=Z$5, TODAY()&lt;AA$5)</formula>
    </cfRule>
  </conditionalFormatting>
  <conditionalFormatting sqref="Z20">
    <cfRule type="expression" dxfId="7" priority="8">
      <formula>AND(task_start&lt;=Z$5,ROUNDDOWN((task_end-task_start+1)*task_progress,0)+task_start-1&gt;=Z$5)</formula>
    </cfRule>
    <cfRule type="expression" dxfId="6" priority="9" stopIfTrue="1">
      <formula>AND(task_end&gt;=Z$5,task_start&lt;AA$5)</formula>
    </cfRule>
  </conditionalFormatting>
  <conditionalFormatting sqref="AA20">
    <cfRule type="expression" dxfId="5" priority="4">
      <formula>AND(TODAY()&gt;=AA$5, TODAY()&lt;AB$5)</formula>
    </cfRule>
  </conditionalFormatting>
  <conditionalFormatting sqref="AA20">
    <cfRule type="expression" dxfId="4" priority="5">
      <formula>AND(task_start&lt;=AA$5,ROUNDDOWN((task_end-task_start+1)*task_progress,0)+task_start-1&gt;=AA$5)</formula>
    </cfRule>
    <cfRule type="expression" dxfId="3" priority="6" stopIfTrue="1">
      <formula>AND(task_end&gt;=AA$5,task_start&lt;AB$5)</formula>
    </cfRule>
  </conditionalFormatting>
  <conditionalFormatting sqref="AB20">
    <cfRule type="expression" dxfId="2" priority="1">
      <formula>AND(TODAY()&gt;=AB$5, TODAY()&lt;AC$5)</formula>
    </cfRule>
  </conditionalFormatting>
  <conditionalFormatting sqref="AB20">
    <cfRule type="expression" dxfId="1" priority="2">
      <formula>AND(task_start&lt;=AB$5,ROUNDDOWN((task_end-task_start+1)*task_progress,0)+task_start-1&gt;=AB$5)</formula>
    </cfRule>
    <cfRule type="expression" dxfId="0" priority="3" stopIfTrue="1">
      <formula>AND(task_end&gt;=AB$5,task_start&lt;AC$5)</formula>
    </cfRule>
  </conditionalFormatting>
  <dataValidations disablePrompts="1"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6"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Elizabeth Wiggins</dc:creator>
  <dc:description/>
  <cp:lastModifiedBy>Elizabeth Wiggins</cp:lastModifiedBy>
  <dcterms:created xsi:type="dcterms:W3CDTF">2022-03-11T22:41:12Z</dcterms:created>
  <dcterms:modified xsi:type="dcterms:W3CDTF">2026-02-27T22:18:17Z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